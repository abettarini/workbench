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zzi per negozio" sheetId="1" state="visible" r:id="rId3"/>
    <sheet name="Giunzioni alternativ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<sst xmlns="http://schemas.openxmlformats.org/spreadsheetml/2006/main" count="397" uniqueCount="177">
  <si>
    <t xml:space="preserve">Confronto prezzi Tecnomat · OBI · Leroy Merlin (18/10/2026)</t>
  </si>
  <si>
    <t xml:space="preserve">Solo prezzi letti sulle pagine dei siti. LM = Leroy Merlin; MP = venditore terzo (marketplace) con spedizione a parte.</t>
  </si>
  <si>
    <t xml:space="preserve">Voce</t>
  </si>
  <si>
    <t xml:space="preserve">Negozio</t>
  </si>
  <si>
    <t xml:space="preserve">Prodotto</t>
  </si>
  <si>
    <t xml:space="preserve">Misure</t>
  </si>
  <si>
    <t xml:space="preserve">Prezzo</t>
  </si>
  <si>
    <t xml:space="preserve">Conf.</t>
  </si>
  <si>
    <t xml:space="preserve">Link</t>
  </si>
  <si>
    <t xml:space="preserve">Note</t>
  </si>
  <si>
    <t xml:space="preserve">Trave 80×120</t>
  </si>
  <si>
    <t xml:space="preserve">Tecnomat</t>
  </si>
  <si>
    <t xml:space="preserve">Trave KVH giuntato 80×120×4000</t>
  </si>
  <si>
    <t xml:space="preserve">80×120×4000</t>
  </si>
  <si>
    <t xml:space="preserve">1</t>
  </si>
  <si>
    <t xml:space="preserve">apri</t>
  </si>
  <si>
    <t xml:space="preserve">scelta</t>
  </si>
  <si>
    <t xml:space="preserve">Trave abete lamellare GL24h 80×120×4000</t>
  </si>
  <si>
    <t xml:space="preserve">Leroy Merlin</t>
  </si>
  <si>
    <t xml:space="preserve">Trave lamellare abete industriale 80×120×4000</t>
  </si>
  <si>
    <t xml:space="preserve">Trave lamellare abete piallato 80×120×4000</t>
  </si>
  <si>
    <t xml:space="preserve">Trave (alternativa)</t>
  </si>
  <si>
    <t xml:space="preserve">OBI</t>
  </si>
  <si>
    <t xml:space="preserve">Travetto abete massello angoli arrotondati 90×90×3000</t>
  </si>
  <si>
    <t xml:space="preserve">90×90×3000</t>
  </si>
  <si>
    <t xml:space="preserve">OBI non ha 80×120</t>
  </si>
  <si>
    <t xml:space="preserve">Piano 2000×800×40</t>
  </si>
  <si>
    <t xml:space="preserve">Tavola abete lamellare 200×80 sp. 40</t>
  </si>
  <si>
    <t xml:space="preserve">2000×800×40</t>
  </si>
  <si>
    <t xml:space="preserve">Tavola lamellare abete 40 mm 80×200 (MP Cardigliano)</t>
  </si>
  <si>
    <t xml:space="preserve">solo online</t>
  </si>
  <si>
    <t xml:space="preserve">Piano 2000×800 (28 mm)</t>
  </si>
  <si>
    <t xml:space="preserve">Tavola abete lamellare 200×80 sp. 28</t>
  </si>
  <si>
    <t xml:space="preserve">2000×800×28</t>
  </si>
  <si>
    <t xml:space="preserve">Piano 2000×800 (27 mm)</t>
  </si>
  <si>
    <t xml:space="preserve">Tavola lamellare abete 80×200 sp. 27</t>
  </si>
  <si>
    <t xml:space="preserve">2000×800×27</t>
  </si>
  <si>
    <t xml:space="preserve">OSB/3 18</t>
  </si>
  <si>
    <t xml:space="preserve">OSB 3 di pioppo 18 mm 250×125</t>
  </si>
  <si>
    <t xml:space="preserve">2500×1250×18</t>
  </si>
  <si>
    <t xml:space="preserve">Pannello OSB 3 250×125 sp. 18</t>
  </si>
  <si>
    <t xml:space="preserve">Pannello OSB/3 2500×1250×18</t>
  </si>
  <si>
    <t xml:space="preserve">Multistrato pioppo 18</t>
  </si>
  <si>
    <t xml:space="preserve">Multistrato pioppo 18 mm 120×60</t>
  </si>
  <si>
    <t xml:space="preserve">1200×600×18</t>
  </si>
  <si>
    <t xml:space="preserve">Compensato pioppo 18 mm al taglio</t>
  </si>
  <si>
    <t xml:space="preserve">al m²</t>
  </si>
  <si>
    <t xml:space="preserve">m²</t>
  </si>
  <si>
    <t xml:space="preserve">Multistrato pioppo 15</t>
  </si>
  <si>
    <t xml:space="preserve">Multistrato pioppo 15 mm 120×60</t>
  </si>
  <si>
    <t xml:space="preserve">1200×600×15</t>
  </si>
  <si>
    <t xml:space="preserve">Multistrato pioppo 15 mm 244×122</t>
  </si>
  <si>
    <t xml:space="preserve">2440×1220×15</t>
  </si>
  <si>
    <t xml:space="preserve">Pannello pioppo multistrato 15×1200×900</t>
  </si>
  <si>
    <t xml:space="preserve">1200×900×15</t>
  </si>
  <si>
    <t xml:space="preserve">Multistrato pioppo 250×122 sp. 15</t>
  </si>
  <si>
    <t xml:space="preserve">2500×1220×15</t>
  </si>
  <si>
    <t xml:space="preserve">Fondi cassetti</t>
  </si>
  <si>
    <t xml:space="preserve">Fibra grezza 3 mm 250×125</t>
  </si>
  <si>
    <t xml:space="preserve">2500×1250×3</t>
  </si>
  <si>
    <t xml:space="preserve">MDF pretagliato 1010×700×4</t>
  </si>
  <si>
    <t xml:space="preserve">1010×700×4</t>
  </si>
  <si>
    <t xml:space="preserve">Tavola 200 mm larga</t>
  </si>
  <si>
    <t xml:space="preserve">Tavola abete lamellare 100×20 sp. 18</t>
  </si>
  <si>
    <t xml:space="preserve">1000×200×18</t>
  </si>
  <si>
    <t xml:space="preserve">scelta (mensola)</t>
  </si>
  <si>
    <t xml:space="preserve">Tavola lamellare abete 800×200×18</t>
  </si>
  <si>
    <t xml:space="preserve">800×200×18</t>
  </si>
  <si>
    <t xml:space="preserve">Tavola lamellare abete 800×200×14</t>
  </si>
  <si>
    <t xml:space="preserve">800×200×14</t>
  </si>
  <si>
    <t xml:space="preserve">Listello 30×40</t>
  </si>
  <si>
    <t xml:space="preserve">Listello abete grezzo 2 m 30×40</t>
  </si>
  <si>
    <t xml:space="preserve">30×40×2000</t>
  </si>
  <si>
    <t xml:space="preserve">Listello abete piallato 4 lati 30×40×2000</t>
  </si>
  <si>
    <t xml:space="preserve">Vite M10 lunga</t>
  </si>
  <si>
    <t xml:space="preserve">Vite testa cilindrica zincata M10×180</t>
  </si>
  <si>
    <t xml:space="preserve">M10×180</t>
  </si>
  <si>
    <t xml:space="preserve">scelta (B1 e B2)</t>
  </si>
  <si>
    <t xml:space="preserve">Viti testa cilindrica M10×160</t>
  </si>
  <si>
    <t xml:space="preserve">M10×160</t>
  </si>
  <si>
    <t xml:space="preserve">10</t>
  </si>
  <si>
    <t xml:space="preserve">Vite testa esagonale M10×140</t>
  </si>
  <si>
    <t xml:space="preserve">M10×140</t>
  </si>
  <si>
    <t xml:space="preserve">5</t>
  </si>
  <si>
    <t xml:space="preserve">testa esagonale: lamatura Ø30</t>
  </si>
  <si>
    <t xml:space="preserve">Bulloni testa tonda collo quadro M10×160 Würth</t>
  </si>
  <si>
    <t xml:space="preserve">25</t>
  </si>
  <si>
    <t xml:space="preserve">Vite testa esagonale DIN 931 M10×140 (MP)</t>
  </si>
  <si>
    <t xml:space="preserve">50</t>
  </si>
  <si>
    <t xml:space="preserve">spedizione 12,50 €</t>
  </si>
  <si>
    <t xml:space="preserve">Vite strutturale Ø8</t>
  </si>
  <si>
    <t xml:space="preserve">Viti legno SNK TPS Rothoblaas 8×160</t>
  </si>
  <si>
    <t xml:space="preserve">8×160</t>
  </si>
  <si>
    <t xml:space="preserve">100</t>
  </si>
  <si>
    <t xml:space="preserve">scelta (fasce)</t>
  </si>
  <si>
    <t xml:space="preserve">Viti legno SNK TPS Rothoblaas 8×200</t>
  </si>
  <si>
    <t xml:space="preserve">8×200</t>
  </si>
  <si>
    <t xml:space="preserve">Vite legno testa svasata T40 8×180</t>
  </si>
  <si>
    <t xml:space="preserve">8×180</t>
  </si>
  <si>
    <t xml:space="preserve">2</t>
  </si>
  <si>
    <t xml:space="preserve">24 viti = 47,88 €</t>
  </si>
  <si>
    <t xml:space="preserve">Fascia 2000 (alternativa)</t>
  </si>
  <si>
    <t xml:space="preserve">Tavola abete lamellare 200×60 sp. 28 (da refilare)</t>
  </si>
  <si>
    <t xml:space="preserve">2000×600×28</t>
  </si>
  <si>
    <t xml:space="preserve">scartata: KVH dalle stesse barre a costo zero</t>
  </si>
  <si>
    <t xml:space="preserve">Tavola abete lamellare 200×40 sp. 18 (da refilare)</t>
  </si>
  <si>
    <t xml:space="preserve">2000×400×18</t>
  </si>
  <si>
    <t xml:space="preserve">troppo sottile su 2 m</t>
  </si>
  <si>
    <t xml:space="preserve">Tavola abete grezzo 2000×380×50</t>
  </si>
  <si>
    <t xml:space="preserve">2000×380×50</t>
  </si>
  <si>
    <t xml:space="preserve">massello grezzo, da piallare</t>
  </si>
  <si>
    <t xml:space="preserve">Barra filettata M10 1 m</t>
  </si>
  <si>
    <t xml:space="preserve">Barra filettata M10×1 m zincata</t>
  </si>
  <si>
    <t xml:space="preserve">M10×1000</t>
  </si>
  <si>
    <t xml:space="preserve">Barra filettata SUKI M10×1000</t>
  </si>
  <si>
    <t xml:space="preserve">Barra filettata zincata M10×1000</t>
  </si>
  <si>
    <t xml:space="preserve">Spine Ø12</t>
  </si>
  <si>
    <t xml:space="preserve">Spine in faggio zigrinato Ø12</t>
  </si>
  <si>
    <t xml:space="preserve">Ø12</t>
  </si>
  <si>
    <t xml:space="preserve">Tondo faggio zigrinato Ø12×1000</t>
  </si>
  <si>
    <t xml:space="preserve">Ø12×1000</t>
  </si>
  <si>
    <t xml:space="preserve">da tagliare</t>
  </si>
  <si>
    <t xml:space="preserve">Guide cassetto 500</t>
  </si>
  <si>
    <t xml:space="preserve">Coppia guide estrazione totale H45 L500</t>
  </si>
  <si>
    <t xml:space="preserve">500</t>
  </si>
  <si>
    <t xml:space="preserve">coppia</t>
  </si>
  <si>
    <t xml:space="preserve">Guide Cisne-45 a sfere 50 kg L500 (MP)</t>
  </si>
  <si>
    <t xml:space="preserve">?</t>
  </si>
  <si>
    <t xml:space="preserve">Guida a sfere Hettich Silent System 50 cm</t>
  </si>
  <si>
    <t xml:space="preserve">Staffa angolare 90×90</t>
  </si>
  <si>
    <t xml:space="preserve">Staffa angolare con nervatura 90×90×65</t>
  </si>
  <si>
    <t xml:space="preserve">90×90×65</t>
  </si>
  <si>
    <t xml:space="preserve">Squadretta di giunzione angolare 90×90×65</t>
  </si>
  <si>
    <t xml:space="preserve">nervatura non indicata</t>
  </si>
  <si>
    <t xml:space="preserve">Passacavi Ø60</t>
  </si>
  <si>
    <t xml:space="preserve">Bocchette passacavi Ø60 PVC nero</t>
  </si>
  <si>
    <t xml:space="preserve">Ø60</t>
  </si>
  <si>
    <t xml:space="preserve">Passacavo Hettich Ø60 grigio</t>
  </si>
  <si>
    <t xml:space="preserve">Canalina</t>
  </si>
  <si>
    <t xml:space="preserve">Canalina Arnocanali 60×40 2 scomparti</t>
  </si>
  <si>
    <t xml:space="preserve">60×40</t>
  </si>
  <si>
    <t xml:space="preserve">scelta (lunghezza da verificare)</t>
  </si>
  <si>
    <t xml:space="preserve">Canalina per scrivanie e tavoli 76 cm (MP)</t>
  </si>
  <si>
    <t xml:space="preserve">760×185×100</t>
  </si>
  <si>
    <t xml:space="preserve">spedizione da 15,95 €</t>
  </si>
  <si>
    <t xml:space="preserve">Non trovati in nessuno dei tre negozi: dadi a tamburo M10, viti TCEI M10×140/180 dichiarate, viti TSPEI M10 lunghe, inserti M10 a vite (solo MP).</t>
  </si>
  <si>
    <t xml:space="preserve">Sistemi di giunzione del telaio: confronto (D = soluzione adottata)</t>
  </si>
  <si>
    <t xml:space="preserve">Sistema</t>
  </si>
  <si>
    <t xml:space="preserve">Componente</t>
  </si>
  <si>
    <t xml:space="preserve">Q.tà</t>
  </si>
  <si>
    <t xml:space="preserve">Totale</t>
  </si>
  <si>
    <t xml:space="preserve">A · Bulloni + dadi a tamburo (precedente)</t>
  </si>
  <si>
    <t xml:space="preserve">Vite M10×180 testa cilindrica</t>
  </si>
  <si>
    <t xml:space="preserve">smontabile, rigido; fori precisi con dima</t>
  </si>
  <si>
    <t xml:space="preserve">Viti M10×160 conf. 10 (accorciate)</t>
  </si>
  <si>
    <t xml:space="preserve">Dadi a tamburo M10 (stima, online)</t>
  </si>
  <si>
    <t xml:space="preserve">ferramenta/online</t>
  </si>
  <si>
    <t xml:space="preserve">unico pezzo non trovato a scaffale</t>
  </si>
  <si>
    <t xml:space="preserve">Spine Ø12 conf. 25</t>
  </si>
  <si>
    <t xml:space="preserve">B · Viti strutturali</t>
  </si>
  <si>
    <t xml:space="preserve">Viti Rothoblaas TPS 8×200 conf. 100</t>
  </si>
  <si>
    <t xml:space="preserve">2 viti per nodo (68), inclinate; si smonta poche volte</t>
  </si>
  <si>
    <t xml:space="preserve">antirotazione</t>
  </si>
  <si>
    <t xml:space="preserve">C · Staffe metalliche</t>
  </si>
  <si>
    <t xml:space="preserve">Staffa angolare con nervatura 90×90×65 (conf. 20 a 29,99 €)</t>
  </si>
  <si>
    <t xml:space="preserve">2 per nodo (68 → 4 conf.); si vedono, meno rigido</t>
  </si>
  <si>
    <t xml:space="preserve">Viti per staffe (stima)</t>
  </si>
  <si>
    <t xml:space="preserve">D · Telai + fasce (adottata)</t>
  </si>
  <si>
    <t xml:space="preserve">Vite M10×180 testa cilindrica (16 B1 + 4 B2 accorciate)</t>
  </si>
  <si>
    <t xml:space="preserve">20 nodi imbullonati: telai laterali e traverse basse anteriori</t>
  </si>
  <si>
    <t xml:space="preserve">+4 per l'alzatina, contati nella distinta</t>
  </si>
  <si>
    <t xml:space="preserve">Viti Rothoblaas TPS 8×160 conf. 100</t>
  </si>
  <si>
    <t xml:space="preserve">fasce: 24 viti perpendicolari nelle facce delle gambe</t>
  </si>
  <si>
    <t xml:space="preserve">Totale A</t>
  </si>
  <si>
    <t xml:space="preserve">Totale B</t>
  </si>
  <si>
    <t xml:space="preserve">Totale C</t>
  </si>
  <si>
    <t xml:space="preserve">Totale 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</si>
</sst>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&quot; €&quot;;\-#,##0.00&quot; €&quot;;\-"/>
    <numFmt numFmtId="166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u val="single"/>
      <sz val="11"/>
      <color rgb="FF1F5FA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9DFCC"/>
        <bgColor rgb="FFDCEBD6"/>
      </patternFill>
    </fill>
    <fill>
      <patternFill patternType="solid">
        <fgColor rgb="FFDCEBD6"/>
        <bgColor rgb="FFE9D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1F5FA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BD6"/>
      <rgbColor rgb="FFFFFF99"/>
      <rgbColor rgb="FF99CCFF"/>
      <rgbColor rgb="FFFF99CC"/>
      <rgbColor rgb="FFCC99FF"/>
      <rgbColor rgb="FFE9DFC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tecnomat.it/it/trave-kvh-80x120x400-cm-25102417/" TargetMode="External"/><Relationship Id="rId2" Type="http://schemas.openxmlformats.org/officeDocument/2006/relationships/hyperlink" Target="https://www.tecnomat.it/it/trave-lamellare-abete-8x12x400-cm-10074468/" TargetMode="External"/><Relationship Id="rId3" Type="http://schemas.openxmlformats.org/officeDocument/2006/relationships/hyperlink" Target="https://www.leroymerlin.it/prodotti/trave-lamellare-abete-industriale-l-400-x-p-12-cm-sp-80-mm-35613963.html" TargetMode="External"/><Relationship Id="rId4" Type="http://schemas.openxmlformats.org/officeDocument/2006/relationships/hyperlink" Target="https://www.leroymerlin.it/prodotti/trave-lamellare-in-abete-piallato-l-400-x-p-8-x-sp-12-cm-35282156.html" TargetMode="External"/><Relationship Id="rId5" Type="http://schemas.openxmlformats.org/officeDocument/2006/relationships/hyperlink" Target="https://www.obi-italia.it/p/2872109" TargetMode="External"/><Relationship Id="rId6" Type="http://schemas.openxmlformats.org/officeDocument/2006/relationships/hyperlink" Target="https://www.tecnomat.it/it/tavola-abete-lam-200x80-cm-spess-40-25035058/" TargetMode="External"/><Relationship Id="rId7" Type="http://schemas.openxmlformats.org/officeDocument/2006/relationships/hyperlink" Target="https://www.leroymerlin.it/prodotti/tavola-pannello-lamellare-abete-spessore-mm-40-80-cm-200-cm-84286356.html" TargetMode="External"/><Relationship Id="rId8" Type="http://schemas.openxmlformats.org/officeDocument/2006/relationships/hyperlink" Target="https://www.tecnomat.it/it/tavola-abete-lam-200x80-cm-spess-28-10074974/" TargetMode="External"/><Relationship Id="rId9" Type="http://schemas.openxmlformats.org/officeDocument/2006/relationships/hyperlink" Target="https://www.leroymerlin.it/prodotti/tavola-lamellare-in-legno-di-abete-l-80-x-200-cm-x-sp-27-mm-86909783.html" TargetMode="External"/><Relationship Id="rId10" Type="http://schemas.openxmlformats.org/officeDocument/2006/relationships/hyperlink" Target="https://www.tecnomat.it/it/osb-3-pioppo-spess-18-mm-dim-250x125-cm-10043418/" TargetMode="External"/><Relationship Id="rId11" Type="http://schemas.openxmlformats.org/officeDocument/2006/relationships/hyperlink" Target="https://www.leroymerlin.it/prodotti/pannello-osb-3-l-250-x-h-125-cm-sp-18-mm-naturale-89126386.html" TargetMode="External"/><Relationship Id="rId12" Type="http://schemas.openxmlformats.org/officeDocument/2006/relationships/hyperlink" Target="https://www.obi-italia.it/p/2099109" TargetMode="External"/><Relationship Id="rId13" Type="http://schemas.openxmlformats.org/officeDocument/2006/relationships/hyperlink" Target="https://www.tecnomat.it/it/pioppo-spess-18-mm-dim-120x60-cm-25016807/" TargetMode="External"/><Relationship Id="rId14" Type="http://schemas.openxmlformats.org/officeDocument/2006/relationships/hyperlink" Target="https://www.leroymerlin.it/prodotti/pannello-compensato-pioppo-l-250-x-h-122-cm-sp-18-mm-naturale-su-misura-pioppo-33000702.html" TargetMode="External"/><Relationship Id="rId15" Type="http://schemas.openxmlformats.org/officeDocument/2006/relationships/hyperlink" Target="https://www.tecnomat.it/it/pioppo-spess-15-mm-120x60-cm-25022690/" TargetMode="External"/><Relationship Id="rId16" Type="http://schemas.openxmlformats.org/officeDocument/2006/relationships/hyperlink" Target="https://www.tecnomat.it/it/pioppo-spess-15-mm-244x122-cm-25022700/" TargetMode="External"/><Relationship Id="rId17" Type="http://schemas.openxmlformats.org/officeDocument/2006/relationships/hyperlink" Target="https://www.obi-italia.it/p/5533476" TargetMode="External"/><Relationship Id="rId18" Type="http://schemas.openxmlformats.org/officeDocument/2006/relationships/hyperlink" Target="https://www.leroymerlin.it/prodotti/pannello-multistrato-in-pioppo-l-250-x-h-122-cm-sp-15-mm-naturale-89185626.html" TargetMode="External"/><Relationship Id="rId19" Type="http://schemas.openxmlformats.org/officeDocument/2006/relationships/hyperlink" Target="https://www.tecnomat.it/it/fibra-grezza-spess-3-mm-dim-250x125-cm-10048894/" TargetMode="External"/><Relationship Id="rId20" Type="http://schemas.openxmlformats.org/officeDocument/2006/relationships/hyperlink" Target="https://www.obi-italia.it/p/3809142" TargetMode="External"/><Relationship Id="rId21" Type="http://schemas.openxmlformats.org/officeDocument/2006/relationships/hyperlink" Target="https://www.tecnomat.it/it/tavola-abete-lam-100x20-cm-spess-18-10074965/" TargetMode="External"/><Relationship Id="rId22" Type="http://schemas.openxmlformats.org/officeDocument/2006/relationships/hyperlink" Target="https://www.obi-italia.it/p/2190791" TargetMode="External"/><Relationship Id="rId23" Type="http://schemas.openxmlformats.org/officeDocument/2006/relationships/hyperlink" Target="https://www.obi-italia.it/p/2423135" TargetMode="External"/><Relationship Id="rId24" Type="http://schemas.openxmlformats.org/officeDocument/2006/relationships/hyperlink" Target="https://www.tecnomat.it/it/listello-abete-grezzo-2-m-30x40-mm-25039932/" TargetMode="External"/><Relationship Id="rId25" Type="http://schemas.openxmlformats.org/officeDocument/2006/relationships/hyperlink" Target="https://www.obi-italia.it/p/6191670" TargetMode="External"/><Relationship Id="rId26" Type="http://schemas.openxmlformats.org/officeDocument/2006/relationships/hyperlink" Target="https://www.obi-italia.it/p/6282354" TargetMode="External"/><Relationship Id="rId27" Type="http://schemas.openxmlformats.org/officeDocument/2006/relationships/hyperlink" Target="https://www.obi-italia.it/p/6253421" TargetMode="External"/><Relationship Id="rId28" Type="http://schemas.openxmlformats.org/officeDocument/2006/relationships/hyperlink" Target="https://www.obi-italia.it/p/6271043" TargetMode="External"/><Relationship Id="rId29" Type="http://schemas.openxmlformats.org/officeDocument/2006/relationships/hyperlink" Target="https://www.tecnomat.it/it/bulloni-t-tonda-quadra-zinc-m10x160-25pz-10049377/" TargetMode="External"/><Relationship Id="rId30" Type="http://schemas.openxmlformats.org/officeDocument/2006/relationships/hyperlink" Target="https://www.leroymerlin.it/prodotti/vite-con-filetto-metrico-a-testa-esagonale-8-8-filetto-medio-din-931-zincato-m10-x-140-scatola-da-50-unita-86447822.html" TargetMode="External"/><Relationship Id="rId31" Type="http://schemas.openxmlformats.org/officeDocument/2006/relationships/hyperlink" Target="https://www.tecnomat.it/it/p-viti-legno-tps-snk-8x160-mm-100pz-25026900/" TargetMode="External"/><Relationship Id="rId32" Type="http://schemas.openxmlformats.org/officeDocument/2006/relationships/hyperlink" Target="https://www.tecnomat.it/it/p-viti-legno-tps-snk-8x200-mm-100pz-25026876/" TargetMode="External"/><Relationship Id="rId33" Type="http://schemas.openxmlformats.org/officeDocument/2006/relationships/hyperlink" Target="https://www.obi-italia.it/p/5045984" TargetMode="External"/><Relationship Id="rId34" Type="http://schemas.openxmlformats.org/officeDocument/2006/relationships/hyperlink" Target="https://www.tecnomat.it/it/tavola-abete-lam-200x60-cm-spess-28-10074970/" TargetMode="External"/><Relationship Id="rId35" Type="http://schemas.openxmlformats.org/officeDocument/2006/relationships/hyperlink" Target="https://www.tecnomat.it/it/tavola-abete-lam-200x40-cm-spess-18-10074956/" TargetMode="External"/><Relationship Id="rId36" Type="http://schemas.openxmlformats.org/officeDocument/2006/relationships/hyperlink" Target="https://www.leroymerlin.it/prodotti/tavola-rettangolare-in-abete-grezzo-2000-x-380-x-50-mm-36596630.html" TargetMode="External"/><Relationship Id="rId37" Type="http://schemas.openxmlformats.org/officeDocument/2006/relationships/hyperlink" Target="https://www.tecnomat.it/it/barra-filettata-zinc-m10x1m-10066674/" TargetMode="External"/><Relationship Id="rId38" Type="http://schemas.openxmlformats.org/officeDocument/2006/relationships/hyperlink" Target="https://www.leroymerlin.it/prodotti/barra-filettata-suki-in-acciaio-m10-l-1000-mm-35737030.html" TargetMode="External"/><Relationship Id="rId39" Type="http://schemas.openxmlformats.org/officeDocument/2006/relationships/hyperlink" Target="https://www.obi-italia.it/p/4328456" TargetMode="External"/><Relationship Id="rId40" Type="http://schemas.openxmlformats.org/officeDocument/2006/relationships/hyperlink" Target="https://www.obi-italia.it/p/4884714" TargetMode="External"/><Relationship Id="rId41" Type="http://schemas.openxmlformats.org/officeDocument/2006/relationships/hyperlink" Target="https://www.tecnomat.it/it/tondo-faggio-zigrinato-o-12-mm-h-100-cm-10018430/" TargetMode="External"/><Relationship Id="rId42" Type="http://schemas.openxmlformats.org/officeDocument/2006/relationships/hyperlink" Target="https://www.tecnomat.it/it/guide-p-cas-acc-estraz-tot-h45-500mm-bnc-25060371/" TargetMode="External"/><Relationship Id="rId43" Type="http://schemas.openxmlformats.org/officeDocument/2006/relationships/hyperlink" Target="https://www.leroymerlin.it/prodotti/guide-per-cassetto-cisne-45-a-sfere-h45-mm-estrazione-totale-portata-50-kg-lunghezza-500-mm-chiusura-standard-evotrade-84639730.html" TargetMode="External"/><Relationship Id="rId44" Type="http://schemas.openxmlformats.org/officeDocument/2006/relationships/hyperlink" Target="https://www.obi-italia.it/p/4503207" TargetMode="External"/><Relationship Id="rId45" Type="http://schemas.openxmlformats.org/officeDocument/2006/relationships/hyperlink" Target="https://www.obi-italia.it/p/3786233" TargetMode="External"/><Relationship Id="rId46" Type="http://schemas.openxmlformats.org/officeDocument/2006/relationships/hyperlink" Target="https://www.tecnomat.it/it/squadretta-di-giunz-angol-90x90x65mm-10062291/" TargetMode="External"/><Relationship Id="rId47" Type="http://schemas.openxmlformats.org/officeDocument/2006/relationships/hyperlink" Target="https://www.tecnomat.it/it/bocchette-passacavi-in-pvc-nero-o60-2pz-25019432/" TargetMode="External"/><Relationship Id="rId48" Type="http://schemas.openxmlformats.org/officeDocument/2006/relationships/hyperlink" Target="https://www.leroymerlin.it/prodotti/passacavo-hettich-grigio-argento-60-mm-43826482.html" TargetMode="External"/><Relationship Id="rId49" Type="http://schemas.openxmlformats.org/officeDocument/2006/relationships/hyperlink" Target="https://www.tecnomat.it/it/canalina-ufficio-60x40-mm-2-scomparti-10052978/" TargetMode="External"/><Relationship Id="rId50" Type="http://schemas.openxmlformats.org/officeDocument/2006/relationships/hyperlink" Target="https://www.leroymerlin.it/prodotti/canalina-per-scrivanie-e-tavoli-76-cm-84891827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50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7"/>
    <col collapsed="false" customWidth="true" hidden="false" outlineLevel="0" max="8" min="8" style="0" width="4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5" t="s">
        <v>12</v>
      </c>
      <c r="D5" s="4" t="s">
        <v>13</v>
      </c>
      <c r="E5" s="6" t="n">
        <v>29.9</v>
      </c>
      <c r="F5" s="4" t="s">
        <v>14</v>
      </c>
      <c r="G5" s="7" t="s">
        <v>15</v>
      </c>
      <c r="H5" s="5" t="s">
        <v>16</v>
      </c>
    </row>
    <row r="6" customFormat="false" ht="15" hidden="false" customHeight="false" outlineLevel="0" collapsed="false">
      <c r="A6" s="8" t="s">
        <v>10</v>
      </c>
      <c r="B6" s="8" t="s">
        <v>11</v>
      </c>
      <c r="C6" s="9" t="s">
        <v>17</v>
      </c>
      <c r="D6" s="8" t="s">
        <v>13</v>
      </c>
      <c r="E6" s="10" t="n">
        <v>39.9</v>
      </c>
      <c r="F6" s="8" t="s">
        <v>14</v>
      </c>
      <c r="G6" s="11" t="s">
        <v>15</v>
      </c>
      <c r="H6" s="9"/>
    </row>
    <row r="7" customFormat="false" ht="15" hidden="false" customHeight="false" outlineLevel="0" collapsed="false">
      <c r="A7" s="8" t="s">
        <v>10</v>
      </c>
      <c r="B7" s="8" t="s">
        <v>18</v>
      </c>
      <c r="C7" s="9" t="s">
        <v>19</v>
      </c>
      <c r="D7" s="8" t="s">
        <v>13</v>
      </c>
      <c r="E7" s="10" t="n">
        <v>74.9</v>
      </c>
      <c r="F7" s="8" t="s">
        <v>14</v>
      </c>
      <c r="G7" s="11" t="s">
        <v>15</v>
      </c>
      <c r="H7" s="9"/>
    </row>
    <row r="8" customFormat="false" ht="15" hidden="false" customHeight="false" outlineLevel="0" collapsed="false">
      <c r="A8" s="8" t="s">
        <v>10</v>
      </c>
      <c r="B8" s="8" t="s">
        <v>18</v>
      </c>
      <c r="C8" s="9" t="s">
        <v>20</v>
      </c>
      <c r="D8" s="8" t="s">
        <v>13</v>
      </c>
      <c r="E8" s="10" t="n">
        <v>79.9</v>
      </c>
      <c r="F8" s="8" t="s">
        <v>14</v>
      </c>
      <c r="G8" s="11" t="s">
        <v>15</v>
      </c>
      <c r="H8" s="9"/>
    </row>
    <row r="9" customFormat="false" ht="26.85" hidden="false" customHeight="false" outlineLevel="0" collapsed="false">
      <c r="A9" s="8" t="s">
        <v>21</v>
      </c>
      <c r="B9" s="8" t="s">
        <v>22</v>
      </c>
      <c r="C9" s="9" t="s">
        <v>23</v>
      </c>
      <c r="D9" s="8" t="s">
        <v>24</v>
      </c>
      <c r="E9" s="10" t="n">
        <v>41.99</v>
      </c>
      <c r="F9" s="8" t="s">
        <v>14</v>
      </c>
      <c r="G9" s="11" t="s">
        <v>15</v>
      </c>
      <c r="H9" s="9" t="s">
        <v>25</v>
      </c>
    </row>
    <row r="10" customFormat="false" ht="15" hidden="false" customHeight="false" outlineLevel="0" collapsed="false">
      <c r="A10" s="4" t="s">
        <v>26</v>
      </c>
      <c r="B10" s="4" t="s">
        <v>11</v>
      </c>
      <c r="C10" s="5" t="s">
        <v>27</v>
      </c>
      <c r="D10" s="4" t="s">
        <v>28</v>
      </c>
      <c r="E10" s="6" t="n">
        <v>79</v>
      </c>
      <c r="F10" s="4" t="s">
        <v>14</v>
      </c>
      <c r="G10" s="7" t="s">
        <v>15</v>
      </c>
      <c r="H10" s="5" t="s">
        <v>16</v>
      </c>
    </row>
    <row r="11" customFormat="false" ht="26.85" hidden="false" customHeight="false" outlineLevel="0" collapsed="false">
      <c r="A11" s="8" t="s">
        <v>26</v>
      </c>
      <c r="B11" s="8" t="s">
        <v>18</v>
      </c>
      <c r="C11" s="9" t="s">
        <v>29</v>
      </c>
      <c r="D11" s="8" t="s">
        <v>28</v>
      </c>
      <c r="E11" s="10" t="n">
        <v>147.45</v>
      </c>
      <c r="F11" s="8" t="s">
        <v>14</v>
      </c>
      <c r="G11" s="11" t="s">
        <v>15</v>
      </c>
      <c r="H11" s="9" t="s">
        <v>30</v>
      </c>
    </row>
    <row r="12" customFormat="false" ht="15" hidden="false" customHeight="false" outlineLevel="0" collapsed="false">
      <c r="A12" s="8" t="s">
        <v>31</v>
      </c>
      <c r="B12" s="8" t="s">
        <v>11</v>
      </c>
      <c r="C12" s="9" t="s">
        <v>32</v>
      </c>
      <c r="D12" s="8" t="s">
        <v>33</v>
      </c>
      <c r="E12" s="10" t="n">
        <v>49.9</v>
      </c>
      <c r="F12" s="8" t="s">
        <v>14</v>
      </c>
      <c r="G12" s="11" t="s">
        <v>15</v>
      </c>
      <c r="H12" s="9"/>
    </row>
    <row r="13" customFormat="false" ht="15" hidden="false" customHeight="false" outlineLevel="0" collapsed="false">
      <c r="A13" s="8" t="s">
        <v>34</v>
      </c>
      <c r="B13" s="8" t="s">
        <v>18</v>
      </c>
      <c r="C13" s="9" t="s">
        <v>35</v>
      </c>
      <c r="D13" s="8" t="s">
        <v>36</v>
      </c>
      <c r="E13" s="10" t="n">
        <v>69.9</v>
      </c>
      <c r="F13" s="8" t="s">
        <v>14</v>
      </c>
      <c r="G13" s="11" t="s">
        <v>15</v>
      </c>
      <c r="H13" s="9"/>
    </row>
    <row r="14" customFormat="false" ht="15" hidden="false" customHeight="false" outlineLevel="0" collapsed="false">
      <c r="A14" s="4" t="s">
        <v>37</v>
      </c>
      <c r="B14" s="4" t="s">
        <v>11</v>
      </c>
      <c r="C14" s="5" t="s">
        <v>38</v>
      </c>
      <c r="D14" s="4" t="s">
        <v>39</v>
      </c>
      <c r="E14" s="6" t="n">
        <v>27.5</v>
      </c>
      <c r="F14" s="4" t="s">
        <v>14</v>
      </c>
      <c r="G14" s="7" t="s">
        <v>15</v>
      </c>
      <c r="H14" s="5" t="s">
        <v>16</v>
      </c>
    </row>
    <row r="15" customFormat="false" ht="15" hidden="false" customHeight="false" outlineLevel="0" collapsed="false">
      <c r="A15" s="8" t="s">
        <v>37</v>
      </c>
      <c r="B15" s="8" t="s">
        <v>18</v>
      </c>
      <c r="C15" s="9" t="s">
        <v>40</v>
      </c>
      <c r="D15" s="8" t="s">
        <v>39</v>
      </c>
      <c r="E15" s="10" t="n">
        <v>30.5</v>
      </c>
      <c r="F15" s="8" t="s">
        <v>14</v>
      </c>
      <c r="G15" s="11" t="s">
        <v>15</v>
      </c>
      <c r="H15" s="9"/>
    </row>
    <row r="16" customFormat="false" ht="15" hidden="false" customHeight="false" outlineLevel="0" collapsed="false">
      <c r="A16" s="8" t="s">
        <v>37</v>
      </c>
      <c r="B16" s="8" t="s">
        <v>22</v>
      </c>
      <c r="C16" s="9" t="s">
        <v>41</v>
      </c>
      <c r="D16" s="8" t="s">
        <v>39</v>
      </c>
      <c r="E16" s="10" t="n">
        <v>31.49</v>
      </c>
      <c r="F16" s="8" t="s">
        <v>14</v>
      </c>
      <c r="G16" s="11" t="s">
        <v>15</v>
      </c>
      <c r="H16" s="9"/>
    </row>
    <row r="17" customFormat="false" ht="15" hidden="false" customHeight="false" outlineLevel="0" collapsed="false">
      <c r="A17" s="4" t="s">
        <v>42</v>
      </c>
      <c r="B17" s="4" t="s">
        <v>11</v>
      </c>
      <c r="C17" s="5" t="s">
        <v>43</v>
      </c>
      <c r="D17" s="4" t="s">
        <v>44</v>
      </c>
      <c r="E17" s="6" t="n">
        <v>17.8</v>
      </c>
      <c r="F17" s="4" t="s">
        <v>14</v>
      </c>
      <c r="G17" s="7" t="s">
        <v>15</v>
      </c>
      <c r="H17" s="5" t="s">
        <v>16</v>
      </c>
    </row>
    <row r="18" customFormat="false" ht="15" hidden="false" customHeight="false" outlineLevel="0" collapsed="false">
      <c r="A18" s="8" t="s">
        <v>42</v>
      </c>
      <c r="B18" s="8" t="s">
        <v>18</v>
      </c>
      <c r="C18" s="9" t="s">
        <v>45</v>
      </c>
      <c r="D18" s="8" t="s">
        <v>46</v>
      </c>
      <c r="E18" s="10" t="n">
        <v>59</v>
      </c>
      <c r="F18" s="8" t="s">
        <v>47</v>
      </c>
      <c r="G18" s="11" t="s">
        <v>15</v>
      </c>
      <c r="H18" s="9"/>
    </row>
    <row r="19" customFormat="false" ht="15" hidden="false" customHeight="false" outlineLevel="0" collapsed="false">
      <c r="A19" s="4" t="s">
        <v>48</v>
      </c>
      <c r="B19" s="4" t="s">
        <v>11</v>
      </c>
      <c r="C19" s="5" t="s">
        <v>49</v>
      </c>
      <c r="D19" s="4" t="s">
        <v>50</v>
      </c>
      <c r="E19" s="6" t="n">
        <v>15.9</v>
      </c>
      <c r="F19" s="4" t="s">
        <v>14</v>
      </c>
      <c r="G19" s="7" t="s">
        <v>15</v>
      </c>
      <c r="H19" s="5" t="s">
        <v>16</v>
      </c>
    </row>
    <row r="20" customFormat="false" ht="15" hidden="false" customHeight="false" outlineLevel="0" collapsed="false">
      <c r="A20" s="8" t="s">
        <v>48</v>
      </c>
      <c r="B20" s="8" t="s">
        <v>11</v>
      </c>
      <c r="C20" s="9" t="s">
        <v>51</v>
      </c>
      <c r="D20" s="8" t="s">
        <v>52</v>
      </c>
      <c r="E20" s="10" t="n">
        <v>47.6</v>
      </c>
      <c r="F20" s="8" t="s">
        <v>14</v>
      </c>
      <c r="G20" s="11" t="s">
        <v>15</v>
      </c>
      <c r="H20" s="9"/>
    </row>
    <row r="21" customFormat="false" ht="15" hidden="false" customHeight="false" outlineLevel="0" collapsed="false">
      <c r="A21" s="8" t="s">
        <v>48</v>
      </c>
      <c r="B21" s="8" t="s">
        <v>22</v>
      </c>
      <c r="C21" s="9" t="s">
        <v>53</v>
      </c>
      <c r="D21" s="8" t="s">
        <v>54</v>
      </c>
      <c r="E21" s="10" t="n">
        <v>49.99</v>
      </c>
      <c r="F21" s="8" t="s">
        <v>14</v>
      </c>
      <c r="G21" s="11" t="s">
        <v>15</v>
      </c>
      <c r="H21" s="9"/>
    </row>
    <row r="22" customFormat="false" ht="15" hidden="false" customHeight="false" outlineLevel="0" collapsed="false">
      <c r="A22" s="8" t="s">
        <v>48</v>
      </c>
      <c r="B22" s="8" t="s">
        <v>18</v>
      </c>
      <c r="C22" s="9" t="s">
        <v>55</v>
      </c>
      <c r="D22" s="8" t="s">
        <v>56</v>
      </c>
      <c r="E22" s="10" t="n">
        <v>80.5</v>
      </c>
      <c r="F22" s="8" t="s">
        <v>14</v>
      </c>
      <c r="G22" s="11" t="s">
        <v>15</v>
      </c>
      <c r="H22" s="9"/>
    </row>
    <row r="23" customFormat="false" ht="15" hidden="false" customHeight="false" outlineLevel="0" collapsed="false">
      <c r="A23" s="4" t="s">
        <v>57</v>
      </c>
      <c r="B23" s="4" t="s">
        <v>11</v>
      </c>
      <c r="C23" s="5" t="s">
        <v>58</v>
      </c>
      <c r="D23" s="4" t="s">
        <v>59</v>
      </c>
      <c r="E23" s="6" t="n">
        <v>16</v>
      </c>
      <c r="F23" s="4" t="s">
        <v>14</v>
      </c>
      <c r="G23" s="7" t="s">
        <v>15</v>
      </c>
      <c r="H23" s="5" t="s">
        <v>16</v>
      </c>
    </row>
    <row r="24" customFormat="false" ht="15" hidden="false" customHeight="false" outlineLevel="0" collapsed="false">
      <c r="A24" s="8" t="s">
        <v>57</v>
      </c>
      <c r="B24" s="8" t="s">
        <v>22</v>
      </c>
      <c r="C24" s="9" t="s">
        <v>60</v>
      </c>
      <c r="D24" s="8" t="s">
        <v>61</v>
      </c>
      <c r="E24" s="10" t="n">
        <v>9.19</v>
      </c>
      <c r="F24" s="8" t="s">
        <v>14</v>
      </c>
      <c r="G24" s="11" t="s">
        <v>15</v>
      </c>
      <c r="H24" s="9"/>
    </row>
    <row r="25" customFormat="false" ht="15" hidden="false" customHeight="false" outlineLevel="0" collapsed="false">
      <c r="A25" s="4" t="s">
        <v>62</v>
      </c>
      <c r="B25" s="4" t="s">
        <v>11</v>
      </c>
      <c r="C25" s="5" t="s">
        <v>63</v>
      </c>
      <c r="D25" s="4" t="s">
        <v>64</v>
      </c>
      <c r="E25" s="6" t="n">
        <v>4.5</v>
      </c>
      <c r="F25" s="4" t="s">
        <v>14</v>
      </c>
      <c r="G25" s="7" t="s">
        <v>15</v>
      </c>
      <c r="H25" s="5" t="s">
        <v>65</v>
      </c>
    </row>
    <row r="26" customFormat="false" ht="15" hidden="false" customHeight="false" outlineLevel="0" collapsed="false">
      <c r="A26" s="8" t="s">
        <v>62</v>
      </c>
      <c r="B26" s="8" t="s">
        <v>22</v>
      </c>
      <c r="C26" s="9" t="s">
        <v>66</v>
      </c>
      <c r="D26" s="8" t="s">
        <v>67</v>
      </c>
      <c r="E26" s="10" t="n">
        <v>8.79</v>
      </c>
      <c r="F26" s="8" t="s">
        <v>14</v>
      </c>
      <c r="G26" s="11" t="s">
        <v>15</v>
      </c>
      <c r="H26" s="9"/>
    </row>
    <row r="27" customFormat="false" ht="15" hidden="false" customHeight="false" outlineLevel="0" collapsed="false">
      <c r="A27" s="8" t="s">
        <v>62</v>
      </c>
      <c r="B27" s="8" t="s">
        <v>22</v>
      </c>
      <c r="C27" s="9" t="s">
        <v>68</v>
      </c>
      <c r="D27" s="8" t="s">
        <v>69</v>
      </c>
      <c r="E27" s="10" t="n">
        <v>8.19</v>
      </c>
      <c r="F27" s="8" t="s">
        <v>14</v>
      </c>
      <c r="G27" s="11" t="s">
        <v>15</v>
      </c>
      <c r="H27" s="9"/>
    </row>
    <row r="28" customFormat="false" ht="15" hidden="false" customHeight="false" outlineLevel="0" collapsed="false">
      <c r="A28" s="4" t="s">
        <v>70</v>
      </c>
      <c r="B28" s="4" t="s">
        <v>11</v>
      </c>
      <c r="C28" s="5" t="s">
        <v>71</v>
      </c>
      <c r="D28" s="4" t="s">
        <v>72</v>
      </c>
      <c r="E28" s="6" t="n">
        <v>3.1</v>
      </c>
      <c r="F28" s="4" t="s">
        <v>14</v>
      </c>
      <c r="G28" s="7" t="s">
        <v>15</v>
      </c>
      <c r="H28" s="5" t="s">
        <v>16</v>
      </c>
    </row>
    <row r="29" customFormat="false" ht="15" hidden="false" customHeight="false" outlineLevel="0" collapsed="false">
      <c r="A29" s="8" t="s">
        <v>70</v>
      </c>
      <c r="B29" s="8" t="s">
        <v>22</v>
      </c>
      <c r="C29" s="9" t="s">
        <v>73</v>
      </c>
      <c r="D29" s="8" t="s">
        <v>72</v>
      </c>
      <c r="E29" s="10" t="n">
        <v>3.99</v>
      </c>
      <c r="F29" s="8" t="s">
        <v>14</v>
      </c>
      <c r="G29" s="11" t="s">
        <v>15</v>
      </c>
      <c r="H29" s="9"/>
    </row>
    <row r="30" customFormat="false" ht="15" hidden="false" customHeight="false" outlineLevel="0" collapsed="false">
      <c r="A30" s="4" t="s">
        <v>74</v>
      </c>
      <c r="B30" s="4" t="s">
        <v>22</v>
      </c>
      <c r="C30" s="5" t="s">
        <v>75</v>
      </c>
      <c r="D30" s="4" t="s">
        <v>76</v>
      </c>
      <c r="E30" s="6" t="n">
        <v>1.39</v>
      </c>
      <c r="F30" s="4" t="s">
        <v>14</v>
      </c>
      <c r="G30" s="7" t="s">
        <v>15</v>
      </c>
      <c r="H30" s="5" t="s">
        <v>77</v>
      </c>
    </row>
    <row r="31" customFormat="false" ht="15" hidden="false" customHeight="false" outlineLevel="0" collapsed="false">
      <c r="A31" s="8" t="s">
        <v>74</v>
      </c>
      <c r="B31" s="8" t="s">
        <v>22</v>
      </c>
      <c r="C31" s="9" t="s">
        <v>78</v>
      </c>
      <c r="D31" s="8" t="s">
        <v>79</v>
      </c>
      <c r="E31" s="10" t="n">
        <v>13.09</v>
      </c>
      <c r="F31" s="8" t="s">
        <v>80</v>
      </c>
      <c r="G31" s="11" t="s">
        <v>15</v>
      </c>
      <c r="H31" s="9"/>
    </row>
    <row r="32" customFormat="false" ht="15" hidden="false" customHeight="false" outlineLevel="0" collapsed="false">
      <c r="A32" s="8" t="s">
        <v>74</v>
      </c>
      <c r="B32" s="8" t="s">
        <v>22</v>
      </c>
      <c r="C32" s="9" t="s">
        <v>81</v>
      </c>
      <c r="D32" s="8" t="s">
        <v>82</v>
      </c>
      <c r="E32" s="10" t="n">
        <v>3.99</v>
      </c>
      <c r="F32" s="8" t="s">
        <v>83</v>
      </c>
      <c r="G32" s="11" t="s">
        <v>15</v>
      </c>
      <c r="H32" s="9" t="s">
        <v>84</v>
      </c>
    </row>
    <row r="33" customFormat="false" ht="15" hidden="false" customHeight="false" outlineLevel="0" collapsed="false">
      <c r="A33" s="8" t="s">
        <v>74</v>
      </c>
      <c r="B33" s="8" t="s">
        <v>11</v>
      </c>
      <c r="C33" s="9" t="s">
        <v>85</v>
      </c>
      <c r="D33" s="8" t="s">
        <v>79</v>
      </c>
      <c r="E33" s="10" t="n">
        <v>19.45</v>
      </c>
      <c r="F33" s="8" t="s">
        <v>86</v>
      </c>
      <c r="G33" s="11" t="s">
        <v>15</v>
      </c>
      <c r="H33" s="9"/>
    </row>
    <row r="34" customFormat="false" ht="15" hidden="false" customHeight="false" outlineLevel="0" collapsed="false">
      <c r="A34" s="8" t="s">
        <v>74</v>
      </c>
      <c r="B34" s="8" t="s">
        <v>18</v>
      </c>
      <c r="C34" s="9" t="s">
        <v>87</v>
      </c>
      <c r="D34" s="8" t="s">
        <v>82</v>
      </c>
      <c r="E34" s="10" t="n">
        <v>35.31</v>
      </c>
      <c r="F34" s="8" t="s">
        <v>88</v>
      </c>
      <c r="G34" s="11" t="s">
        <v>15</v>
      </c>
      <c r="H34" s="9" t="s">
        <v>89</v>
      </c>
    </row>
    <row r="35" customFormat="false" ht="15" hidden="false" customHeight="false" outlineLevel="0" collapsed="false">
      <c r="A35" s="4" t="s">
        <v>90</v>
      </c>
      <c r="B35" s="4" t="s">
        <v>11</v>
      </c>
      <c r="C35" s="5" t="s">
        <v>91</v>
      </c>
      <c r="D35" s="4" t="s">
        <v>92</v>
      </c>
      <c r="E35" s="6" t="n">
        <v>27.45</v>
      </c>
      <c r="F35" s="4" t="s">
        <v>93</v>
      </c>
      <c r="G35" s="7" t="s">
        <v>15</v>
      </c>
      <c r="H35" s="5" t="s">
        <v>94</v>
      </c>
    </row>
    <row r="36" customFormat="false" ht="15" hidden="false" customHeight="false" outlineLevel="0" collapsed="false">
      <c r="A36" s="8" t="s">
        <v>90</v>
      </c>
      <c r="B36" s="8" t="s">
        <v>11</v>
      </c>
      <c r="C36" s="9" t="s">
        <v>95</v>
      </c>
      <c r="D36" s="8" t="s">
        <v>96</v>
      </c>
      <c r="E36" s="10" t="n">
        <v>41.9</v>
      </c>
      <c r="F36" s="8" t="s">
        <v>93</v>
      </c>
      <c r="G36" s="11" t="s">
        <v>15</v>
      </c>
      <c r="H36" s="9"/>
    </row>
    <row r="37" customFormat="false" ht="15" hidden="false" customHeight="false" outlineLevel="0" collapsed="false">
      <c r="A37" s="8" t="s">
        <v>90</v>
      </c>
      <c r="B37" s="8" t="s">
        <v>22</v>
      </c>
      <c r="C37" s="9" t="s">
        <v>97</v>
      </c>
      <c r="D37" s="8" t="s">
        <v>98</v>
      </c>
      <c r="E37" s="10" t="n">
        <v>3.99</v>
      </c>
      <c r="F37" s="8" t="s">
        <v>99</v>
      </c>
      <c r="G37" s="11" t="s">
        <v>15</v>
      </c>
      <c r="H37" s="9" t="s">
        <v>100</v>
      </c>
    </row>
    <row r="38" customFormat="false" ht="15" hidden="false" customHeight="false" outlineLevel="0" collapsed="false">
      <c r="A38" s="8" t="s">
        <v>101</v>
      </c>
      <c r="B38" s="8" t="s">
        <v>11</v>
      </c>
      <c r="C38" s="9" t="s">
        <v>102</v>
      </c>
      <c r="D38" s="8" t="s">
        <v>103</v>
      </c>
      <c r="E38" s="10" t="n">
        <v>42</v>
      </c>
      <c r="F38" s="8" t="s">
        <v>14</v>
      </c>
      <c r="G38" s="11" t="s">
        <v>15</v>
      </c>
      <c r="H38" s="9" t="s">
        <v>104</v>
      </c>
    </row>
    <row r="39" customFormat="false" ht="15" hidden="false" customHeight="false" outlineLevel="0" collapsed="false">
      <c r="A39" s="8" t="s">
        <v>101</v>
      </c>
      <c r="B39" s="8" t="s">
        <v>11</v>
      </c>
      <c r="C39" s="9" t="s">
        <v>105</v>
      </c>
      <c r="D39" s="8" t="s">
        <v>106</v>
      </c>
      <c r="E39" s="10" t="n">
        <v>18</v>
      </c>
      <c r="F39" s="8" t="s">
        <v>14</v>
      </c>
      <c r="G39" s="11" t="s">
        <v>15</v>
      </c>
      <c r="H39" s="9" t="s">
        <v>107</v>
      </c>
    </row>
    <row r="40" customFormat="false" ht="15" hidden="false" customHeight="false" outlineLevel="0" collapsed="false">
      <c r="A40" s="8" t="s">
        <v>101</v>
      </c>
      <c r="B40" s="8" t="s">
        <v>18</v>
      </c>
      <c r="C40" s="9" t="s">
        <v>108</v>
      </c>
      <c r="D40" s="8" t="s">
        <v>109</v>
      </c>
      <c r="E40" s="10" t="n">
        <v>48.99</v>
      </c>
      <c r="F40" s="8" t="s">
        <v>14</v>
      </c>
      <c r="G40" s="11" t="s">
        <v>15</v>
      </c>
      <c r="H40" s="9" t="s">
        <v>110</v>
      </c>
    </row>
    <row r="41" customFormat="false" ht="15" hidden="false" customHeight="false" outlineLevel="0" collapsed="false">
      <c r="A41" s="4" t="s">
        <v>111</v>
      </c>
      <c r="B41" s="4" t="s">
        <v>11</v>
      </c>
      <c r="C41" s="5" t="s">
        <v>112</v>
      </c>
      <c r="D41" s="4" t="s">
        <v>113</v>
      </c>
      <c r="E41" s="6" t="n">
        <v>1.65</v>
      </c>
      <c r="F41" s="4" t="s">
        <v>14</v>
      </c>
      <c r="G41" s="7" t="s">
        <v>15</v>
      </c>
      <c r="H41" s="5" t="s">
        <v>16</v>
      </c>
    </row>
    <row r="42" customFormat="false" ht="15" hidden="false" customHeight="false" outlineLevel="0" collapsed="false">
      <c r="A42" s="8" t="s">
        <v>111</v>
      </c>
      <c r="B42" s="8" t="s">
        <v>18</v>
      </c>
      <c r="C42" s="9" t="s">
        <v>114</v>
      </c>
      <c r="D42" s="8" t="s">
        <v>113</v>
      </c>
      <c r="E42" s="10" t="n">
        <v>1.75</v>
      </c>
      <c r="F42" s="8" t="s">
        <v>14</v>
      </c>
      <c r="G42" s="11" t="s">
        <v>15</v>
      </c>
      <c r="H42" s="9"/>
    </row>
    <row r="43" customFormat="false" ht="15" hidden="false" customHeight="false" outlineLevel="0" collapsed="false">
      <c r="A43" s="8" t="s">
        <v>111</v>
      </c>
      <c r="B43" s="8" t="s">
        <v>22</v>
      </c>
      <c r="C43" s="9" t="s">
        <v>115</v>
      </c>
      <c r="D43" s="8" t="s">
        <v>113</v>
      </c>
      <c r="E43" s="10" t="n">
        <v>3.19</v>
      </c>
      <c r="F43" s="8" t="s">
        <v>14</v>
      </c>
      <c r="G43" s="11" t="s">
        <v>15</v>
      </c>
      <c r="H43" s="9"/>
    </row>
    <row r="44" customFormat="false" ht="15" hidden="false" customHeight="false" outlineLevel="0" collapsed="false">
      <c r="A44" s="4" t="s">
        <v>116</v>
      </c>
      <c r="B44" s="4" t="s">
        <v>22</v>
      </c>
      <c r="C44" s="5" t="s">
        <v>117</v>
      </c>
      <c r="D44" s="4" t="s">
        <v>118</v>
      </c>
      <c r="E44" s="6" t="n">
        <v>3.69</v>
      </c>
      <c r="F44" s="4" t="s">
        <v>86</v>
      </c>
      <c r="G44" s="7" t="s">
        <v>15</v>
      </c>
      <c r="H44" s="5" t="s">
        <v>16</v>
      </c>
    </row>
    <row r="45" customFormat="false" ht="15" hidden="false" customHeight="false" outlineLevel="0" collapsed="false">
      <c r="A45" s="8" t="s">
        <v>116</v>
      </c>
      <c r="B45" s="8" t="s">
        <v>11</v>
      </c>
      <c r="C45" s="9" t="s">
        <v>119</v>
      </c>
      <c r="D45" s="8" t="s">
        <v>120</v>
      </c>
      <c r="E45" s="10" t="n">
        <v>0.8</v>
      </c>
      <c r="F45" s="8" t="s">
        <v>14</v>
      </c>
      <c r="G45" s="11" t="s">
        <v>15</v>
      </c>
      <c r="H45" s="9" t="s">
        <v>121</v>
      </c>
    </row>
    <row r="46" customFormat="false" ht="15" hidden="false" customHeight="false" outlineLevel="0" collapsed="false">
      <c r="A46" s="4" t="s">
        <v>122</v>
      </c>
      <c r="B46" s="4" t="s">
        <v>11</v>
      </c>
      <c r="C46" s="5" t="s">
        <v>123</v>
      </c>
      <c r="D46" s="4" t="s">
        <v>124</v>
      </c>
      <c r="E46" s="6" t="n">
        <v>10.9</v>
      </c>
      <c r="F46" s="4" t="s">
        <v>125</v>
      </c>
      <c r="G46" s="7" t="s">
        <v>15</v>
      </c>
      <c r="H46" s="5" t="s">
        <v>16</v>
      </c>
    </row>
    <row r="47" customFormat="false" ht="15" hidden="false" customHeight="false" outlineLevel="0" collapsed="false">
      <c r="A47" s="8" t="s">
        <v>122</v>
      </c>
      <c r="B47" s="8" t="s">
        <v>18</v>
      </c>
      <c r="C47" s="9" t="s">
        <v>126</v>
      </c>
      <c r="D47" s="8" t="s">
        <v>124</v>
      </c>
      <c r="E47" s="10" t="n">
        <v>10.9</v>
      </c>
      <c r="F47" s="8" t="s">
        <v>127</v>
      </c>
      <c r="G47" s="11" t="s">
        <v>15</v>
      </c>
      <c r="H47" s="9"/>
    </row>
    <row r="48" customFormat="false" ht="15" hidden="false" customHeight="false" outlineLevel="0" collapsed="false">
      <c r="A48" s="8" t="s">
        <v>122</v>
      </c>
      <c r="B48" s="8" t="s">
        <v>22</v>
      </c>
      <c r="C48" s="9" t="s">
        <v>128</v>
      </c>
      <c r="D48" s="8" t="s">
        <v>124</v>
      </c>
      <c r="E48" s="10" t="n">
        <v>37.99</v>
      </c>
      <c r="F48" s="8" t="s">
        <v>127</v>
      </c>
      <c r="G48" s="11" t="s">
        <v>15</v>
      </c>
      <c r="H48" s="9"/>
    </row>
    <row r="49" customFormat="false" ht="15" hidden="false" customHeight="false" outlineLevel="0" collapsed="false">
      <c r="A49" s="4" t="s">
        <v>129</v>
      </c>
      <c r="B49" s="4" t="s">
        <v>22</v>
      </c>
      <c r="C49" s="5" t="s">
        <v>130</v>
      </c>
      <c r="D49" s="4" t="s">
        <v>131</v>
      </c>
      <c r="E49" s="6" t="n">
        <v>2.89</v>
      </c>
      <c r="F49" s="4" t="s">
        <v>14</v>
      </c>
      <c r="G49" s="7" t="s">
        <v>15</v>
      </c>
      <c r="H49" s="5" t="s">
        <v>16</v>
      </c>
    </row>
    <row r="50" customFormat="false" ht="15" hidden="false" customHeight="false" outlineLevel="0" collapsed="false">
      <c r="A50" s="8" t="s">
        <v>129</v>
      </c>
      <c r="B50" s="8" t="s">
        <v>11</v>
      </c>
      <c r="C50" s="9" t="s">
        <v>132</v>
      </c>
      <c r="D50" s="8" t="s">
        <v>131</v>
      </c>
      <c r="E50" s="10" t="n">
        <v>0.8</v>
      </c>
      <c r="F50" s="8" t="s">
        <v>14</v>
      </c>
      <c r="G50" s="11" t="s">
        <v>15</v>
      </c>
      <c r="H50" s="9" t="s">
        <v>133</v>
      </c>
    </row>
    <row r="51" customFormat="false" ht="15" hidden="false" customHeight="false" outlineLevel="0" collapsed="false">
      <c r="A51" s="4" t="s">
        <v>134</v>
      </c>
      <c r="B51" s="4" t="s">
        <v>11</v>
      </c>
      <c r="C51" s="5" t="s">
        <v>135</v>
      </c>
      <c r="D51" s="4" t="s">
        <v>136</v>
      </c>
      <c r="E51" s="6" t="n">
        <v>1.05</v>
      </c>
      <c r="F51" s="4" t="s">
        <v>99</v>
      </c>
      <c r="G51" s="7" t="s">
        <v>15</v>
      </c>
      <c r="H51" s="5" t="s">
        <v>16</v>
      </c>
    </row>
    <row r="52" customFormat="false" ht="15" hidden="false" customHeight="false" outlineLevel="0" collapsed="false">
      <c r="A52" s="8" t="s">
        <v>134</v>
      </c>
      <c r="B52" s="8" t="s">
        <v>18</v>
      </c>
      <c r="C52" s="9" t="s">
        <v>137</v>
      </c>
      <c r="D52" s="8" t="s">
        <v>136</v>
      </c>
      <c r="E52" s="10" t="n">
        <v>0.99</v>
      </c>
      <c r="F52" s="8" t="s">
        <v>14</v>
      </c>
      <c r="G52" s="11" t="s">
        <v>15</v>
      </c>
      <c r="H52" s="9"/>
    </row>
    <row r="53" customFormat="false" ht="15" hidden="false" customHeight="false" outlineLevel="0" collapsed="false">
      <c r="A53" s="4" t="s">
        <v>138</v>
      </c>
      <c r="B53" s="4" t="s">
        <v>11</v>
      </c>
      <c r="C53" s="5" t="s">
        <v>139</v>
      </c>
      <c r="D53" s="4" t="s">
        <v>140</v>
      </c>
      <c r="E53" s="6" t="n">
        <v>8.55</v>
      </c>
      <c r="F53" s="4" t="s">
        <v>14</v>
      </c>
      <c r="G53" s="7" t="s">
        <v>15</v>
      </c>
      <c r="H53" s="5" t="s">
        <v>141</v>
      </c>
    </row>
    <row r="54" customFormat="false" ht="15" hidden="false" customHeight="false" outlineLevel="0" collapsed="false">
      <c r="A54" s="8" t="s">
        <v>138</v>
      </c>
      <c r="B54" s="8" t="s">
        <v>18</v>
      </c>
      <c r="C54" s="9" t="s">
        <v>142</v>
      </c>
      <c r="D54" s="8" t="s">
        <v>143</v>
      </c>
      <c r="E54" s="10" t="n">
        <v>36.95</v>
      </c>
      <c r="F54" s="8" t="s">
        <v>14</v>
      </c>
      <c r="G54" s="11" t="s">
        <v>15</v>
      </c>
      <c r="H54" s="9" t="s">
        <v>144</v>
      </c>
    </row>
    <row r="56" customFormat="false" ht="15" hidden="false" customHeight="false" outlineLevel="0" collapsed="false">
      <c r="A56" s="2" t="s">
        <v>145</v>
      </c>
    </row>
  </sheetData>
  <hyperlinks>
    <hyperlink ref="G5" r:id="rId1" display="apri"/>
    <hyperlink ref="G6" r:id="rId2" display="apri"/>
    <hyperlink ref="G7" r:id="rId3" display="apri"/>
    <hyperlink ref="G8" r:id="rId4" display="apri"/>
    <hyperlink ref="G9" r:id="rId5" display="apri"/>
    <hyperlink ref="G10" r:id="rId6" display="apri"/>
    <hyperlink ref="G11" r:id="rId7" display="apri"/>
    <hyperlink ref="G12" r:id="rId8" display="apri"/>
    <hyperlink ref="G13" r:id="rId9" display="apri"/>
    <hyperlink ref="G14" r:id="rId10" display="apri"/>
    <hyperlink ref="G15" r:id="rId11" display="apri"/>
    <hyperlink ref="G16" r:id="rId12" display="apri"/>
    <hyperlink ref="G17" r:id="rId13" display="apri"/>
    <hyperlink ref="G18" r:id="rId14" display="apri"/>
    <hyperlink ref="G19" r:id="rId15" display="apri"/>
    <hyperlink ref="G20" r:id="rId16" display="apri"/>
    <hyperlink ref="G21" r:id="rId17" display="apri"/>
    <hyperlink ref="G22" r:id="rId18" display="apri"/>
    <hyperlink ref="G23" r:id="rId19" display="apri"/>
    <hyperlink ref="G24" r:id="rId20" display="apri"/>
    <hyperlink ref="G25" r:id="rId21" display="apri"/>
    <hyperlink ref="G26" r:id="rId22" display="apri"/>
    <hyperlink ref="G27" r:id="rId23" display="apri"/>
    <hyperlink ref="G28" r:id="rId24" display="apri"/>
    <hyperlink ref="G29" r:id="rId25" display="apri"/>
    <hyperlink ref="G30" r:id="rId26" display="apri"/>
    <hyperlink ref="G31" r:id="rId27" display="apri"/>
    <hyperlink ref="G32" r:id="rId28" display="apri"/>
    <hyperlink ref="G33" r:id="rId29" display="apri"/>
    <hyperlink ref="G34" r:id="rId30" display="apri"/>
    <hyperlink ref="G35" r:id="rId31" display="apri"/>
    <hyperlink ref="G36" r:id="rId32" display="apri"/>
    <hyperlink ref="G37" r:id="rId33" display="apri"/>
    <hyperlink ref="G38" r:id="rId34" display="apri"/>
    <hyperlink ref="G39" r:id="rId35" display="apri"/>
    <hyperlink ref="G40" r:id="rId36" display="apri"/>
    <hyperlink ref="G41" r:id="rId37" display="apri"/>
    <hyperlink ref="G42" r:id="rId38" display="apri"/>
    <hyperlink ref="G43" r:id="rId39" display="apri"/>
    <hyperlink ref="G44" r:id="rId40" display="apri"/>
    <hyperlink ref="G45" r:id="rId41" display="apri"/>
    <hyperlink ref="G46" r:id="rId42" display="apri"/>
    <hyperlink ref="G47" r:id="rId43" display="apri"/>
    <hyperlink ref="G48" r:id="rId44" display="apri"/>
    <hyperlink ref="G49" r:id="rId45" display="apri"/>
    <hyperlink ref="G50" r:id="rId46" display="apri"/>
    <hyperlink ref="G51" r:id="rId47" display="apri"/>
    <hyperlink ref="G52" r:id="rId48" display="apri"/>
    <hyperlink ref="G53" r:id="rId49" display="apri"/>
    <hyperlink ref="G54" r:id="rId50" display="apri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7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146</v>
      </c>
    </row>
    <row r="3" customFormat="false" ht="15" hidden="false" customHeight="false" outlineLevel="0" collapsed="false">
      <c r="A3" s="3" t="s">
        <v>147</v>
      </c>
      <c r="B3" s="3" t="s">
        <v>148</v>
      </c>
      <c r="C3" s="3" t="s">
        <v>3</v>
      </c>
      <c r="D3" s="3" t="s">
        <v>149</v>
      </c>
      <c r="E3" s="3" t="s">
        <v>6</v>
      </c>
      <c r="F3" s="3" t="s">
        <v>150</v>
      </c>
      <c r="G3" s="3" t="s">
        <v>9</v>
      </c>
    </row>
    <row r="4" customFormat="false" ht="15" hidden="false" customHeight="false" outlineLevel="0" collapsed="false">
      <c r="A4" s="8" t="s">
        <v>151</v>
      </c>
      <c r="B4" s="9" t="s">
        <v>152</v>
      </c>
      <c r="C4" s="8" t="s">
        <v>22</v>
      </c>
      <c r="D4" s="12" t="n">
        <v>16</v>
      </c>
      <c r="E4" s="10" t="n">
        <v>1.39</v>
      </c>
      <c r="F4" s="13" t="n">
        <f aca="false">D4*E4</f>
        <v>22.24</v>
      </c>
      <c r="G4" s="9" t="s">
        <v>153</v>
      </c>
    </row>
    <row r="5" customFormat="false" ht="15" hidden="false" customHeight="false" outlineLevel="0" collapsed="false">
      <c r="A5" s="8" t="s">
        <v>151</v>
      </c>
      <c r="B5" s="9" t="s">
        <v>154</v>
      </c>
      <c r="C5" s="8" t="s">
        <v>22</v>
      </c>
      <c r="D5" s="12" t="n">
        <v>1</v>
      </c>
      <c r="E5" s="10" t="n">
        <v>13.09</v>
      </c>
      <c r="F5" s="13" t="n">
        <f aca="false">D5*E5</f>
        <v>13.09</v>
      </c>
      <c r="G5" s="9"/>
    </row>
    <row r="6" customFormat="false" ht="15" hidden="false" customHeight="false" outlineLevel="0" collapsed="false">
      <c r="A6" s="8" t="s">
        <v>151</v>
      </c>
      <c r="B6" s="9" t="s">
        <v>155</v>
      </c>
      <c r="C6" s="8" t="s">
        <v>156</v>
      </c>
      <c r="D6" s="12" t="n">
        <v>38</v>
      </c>
      <c r="E6" s="10" t="n">
        <v>0.8</v>
      </c>
      <c r="F6" s="13" t="n">
        <f aca="false">D6*E6</f>
        <v>30.4</v>
      </c>
      <c r="G6" s="9" t="s">
        <v>157</v>
      </c>
    </row>
    <row r="7" customFormat="false" ht="15" hidden="false" customHeight="false" outlineLevel="0" collapsed="false">
      <c r="A7" s="8" t="s">
        <v>151</v>
      </c>
      <c r="B7" s="9" t="s">
        <v>111</v>
      </c>
      <c r="C7" s="8" t="s">
        <v>11</v>
      </c>
      <c r="D7" s="12" t="n">
        <v>1</v>
      </c>
      <c r="E7" s="10" t="n">
        <v>1.65</v>
      </c>
      <c r="F7" s="13" t="n">
        <f aca="false">D7*E7</f>
        <v>1.65</v>
      </c>
      <c r="G7" s="9"/>
    </row>
    <row r="8" customFormat="false" ht="15" hidden="false" customHeight="false" outlineLevel="0" collapsed="false">
      <c r="A8" s="8" t="s">
        <v>151</v>
      </c>
      <c r="B8" s="9" t="s">
        <v>158</v>
      </c>
      <c r="C8" s="8" t="s">
        <v>22</v>
      </c>
      <c r="D8" s="12" t="n">
        <v>3</v>
      </c>
      <c r="E8" s="10" t="n">
        <v>3.69</v>
      </c>
      <c r="F8" s="13" t="n">
        <f aca="false">D8*E8</f>
        <v>11.07</v>
      </c>
      <c r="G8" s="9"/>
    </row>
    <row r="9" customFormat="false" ht="15" hidden="false" customHeight="false" outlineLevel="0" collapsed="false">
      <c r="A9" s="8" t="s">
        <v>159</v>
      </c>
      <c r="B9" s="9" t="s">
        <v>160</v>
      </c>
      <c r="C9" s="8" t="s">
        <v>11</v>
      </c>
      <c r="D9" s="12" t="n">
        <v>1</v>
      </c>
      <c r="E9" s="10" t="n">
        <v>41.9</v>
      </c>
      <c r="F9" s="13" t="n">
        <f aca="false">D9*E9</f>
        <v>41.9</v>
      </c>
      <c r="G9" s="9" t="s">
        <v>161</v>
      </c>
    </row>
    <row r="10" customFormat="false" ht="15" hidden="false" customHeight="false" outlineLevel="0" collapsed="false">
      <c r="A10" s="8" t="s">
        <v>159</v>
      </c>
      <c r="B10" s="9" t="s">
        <v>158</v>
      </c>
      <c r="C10" s="8" t="s">
        <v>22</v>
      </c>
      <c r="D10" s="12" t="n">
        <v>3</v>
      </c>
      <c r="E10" s="10" t="n">
        <v>3.69</v>
      </c>
      <c r="F10" s="13" t="n">
        <f aca="false">D10*E10</f>
        <v>11.07</v>
      </c>
      <c r="G10" s="9" t="s">
        <v>162</v>
      </c>
    </row>
    <row r="11" customFormat="false" ht="26.85" hidden="false" customHeight="false" outlineLevel="0" collapsed="false">
      <c r="A11" s="8" t="s">
        <v>163</v>
      </c>
      <c r="B11" s="9" t="s">
        <v>164</v>
      </c>
      <c r="C11" s="8" t="s">
        <v>22</v>
      </c>
      <c r="D11" s="12" t="n">
        <v>4</v>
      </c>
      <c r="E11" s="10" t="n">
        <v>29.99</v>
      </c>
      <c r="F11" s="13" t="n">
        <f aca="false">D11*E11</f>
        <v>119.96</v>
      </c>
      <c r="G11" s="9" t="s">
        <v>165</v>
      </c>
    </row>
    <row r="12" customFormat="false" ht="15" hidden="false" customHeight="false" outlineLevel="0" collapsed="false">
      <c r="A12" s="8" t="s">
        <v>163</v>
      </c>
      <c r="B12" s="9" t="s">
        <v>166</v>
      </c>
      <c r="C12" s="8" t="s">
        <v>11</v>
      </c>
      <c r="D12" s="12" t="n">
        <v>1</v>
      </c>
      <c r="E12" s="10" t="n">
        <v>12</v>
      </c>
      <c r="F12" s="13" t="n">
        <f aca="false">D12*E12</f>
        <v>12</v>
      </c>
      <c r="G12" s="9"/>
    </row>
    <row r="13" customFormat="false" ht="26.85" hidden="false" customHeight="false" outlineLevel="0" collapsed="false">
      <c r="A13" s="8" t="s">
        <v>167</v>
      </c>
      <c r="B13" s="9" t="s">
        <v>168</v>
      </c>
      <c r="C13" s="8" t="s">
        <v>22</v>
      </c>
      <c r="D13" s="12" t="n">
        <v>20</v>
      </c>
      <c r="E13" s="10" t="n">
        <v>1.39</v>
      </c>
      <c r="F13" s="13" t="n">
        <f aca="false">D13*E13</f>
        <v>27.8</v>
      </c>
      <c r="G13" s="9" t="s">
        <v>169</v>
      </c>
    </row>
    <row r="14" customFormat="false" ht="15" hidden="false" customHeight="false" outlineLevel="0" collapsed="false">
      <c r="A14" s="8" t="s">
        <v>167</v>
      </c>
      <c r="B14" s="9" t="s">
        <v>155</v>
      </c>
      <c r="C14" s="8" t="s">
        <v>156</v>
      </c>
      <c r="D14" s="12" t="n">
        <v>20</v>
      </c>
      <c r="E14" s="10" t="n">
        <v>0.8</v>
      </c>
      <c r="F14" s="13" t="n">
        <f aca="false">D14*E14</f>
        <v>16</v>
      </c>
      <c r="G14" s="9" t="s">
        <v>170</v>
      </c>
    </row>
    <row r="15" customFormat="false" ht="15" hidden="false" customHeight="false" outlineLevel="0" collapsed="false">
      <c r="A15" s="8" t="s">
        <v>167</v>
      </c>
      <c r="B15" s="9" t="s">
        <v>171</v>
      </c>
      <c r="C15" s="8" t="s">
        <v>11</v>
      </c>
      <c r="D15" s="12" t="n">
        <v>1</v>
      </c>
      <c r="E15" s="10" t="n">
        <v>27.45</v>
      </c>
      <c r="F15" s="13" t="n">
        <f aca="false">D15*E15</f>
        <v>27.45</v>
      </c>
      <c r="G15" s="9" t="s">
        <v>172</v>
      </c>
    </row>
    <row r="16" customFormat="false" ht="15" hidden="false" customHeight="false" outlineLevel="0" collapsed="false">
      <c r="A16" s="8" t="s">
        <v>167</v>
      </c>
      <c r="B16" s="9" t="s">
        <v>158</v>
      </c>
      <c r="C16" s="8" t="s">
        <v>22</v>
      </c>
      <c r="D16" s="12" t="n">
        <v>2</v>
      </c>
      <c r="E16" s="10" t="n">
        <v>3.69</v>
      </c>
      <c r="F16" s="13" t="n">
        <f aca="false">D16*E16</f>
        <v>7.38</v>
      </c>
      <c r="G16" s="9"/>
    </row>
    <row r="18" customFormat="false" ht="15" hidden="false" customHeight="false" outlineLevel="0" collapsed="false">
      <c r="E18" s="14" t="s">
        <v>173</v>
      </c>
      <c r="F18" s="15" t="n">
        <f aca="false">SUMIFS(F4:F16,A4:A16,"A · Bulloni + dadi a tamburo (precedente)")</f>
        <v>78.45</v>
      </c>
    </row>
    <row r="19" customFormat="false" ht="15" hidden="false" customHeight="false" outlineLevel="0" collapsed="false">
      <c r="E19" s="14" t="s">
        <v>174</v>
      </c>
      <c r="F19" s="15" t="n">
        <f aca="false">SUMIFS(F4:F16,A4:A16,"B · Viti strutturali")</f>
        <v>52.97</v>
      </c>
    </row>
    <row r="20" customFormat="false" ht="15" hidden="false" customHeight="false" outlineLevel="0" collapsed="false">
      <c r="E20" s="14" t="s">
        <v>175</v>
      </c>
      <c r="F20" s="15" t="n">
        <f aca="false">SUMIFS(F4:F16,A4:A16,"C · Staffe metalliche")</f>
        <v>131.96</v>
      </c>
    </row>
    <row r="21" customFormat="false" ht="15" hidden="false" customHeight="false" outlineLevel="0" collapsed="false">
      <c r="E21" s="14" t="s">
        <v>176</v>
      </c>
      <c r="F21" s="15" t="n">
        <f aca="false">SUMIFS(F4:F16,A4:A16,"D · Telai + fasce (adottata)")</f>
        <v>78.63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2026-10-18T20:29:03Z</dcterms:created>
  <dc:creator>openpyxl</dc:creator>
  <dc:description/>
  <dc:language>en-US</dc:language>
  <cp:lastModifiedBy/>
  <dcterms:modified xsi:type="dcterms:W3CDTF">2026-10-18T20:29:03Z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