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ronto travi" sheetId="1" state="visible" r:id="rId3"/>
    <sheet name="Distinta costi" sheetId="2" state="visible" r:id="rId4"/>
    <sheet name="Taglio trav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Rapporto b·h³ rispetto alla gamba 8×8 della prima versione: misura quanto la gamba resiste a flettersi avanti-indietro (la direzione della leva delle presse).</t>
        </r>
      </text>
    </comment>
    <comment ref="I5" authorId="0">
      <text>
        <r>
          <rPr>
            <sz val="10"/>
            <rFont val="Arial"/>
            <family val="2"/>
          </rPr>
          <t xml:space="preserve">Barre calcolate con ottimizzazione First-Fit-Decreasing sui pezzi dello schema (vedi foglio 'Taglio travi' per l'opzione scelta).</t>
        </r>
      </text>
    </comment>
  </commentList>
</comments>
</file>

<file path=xl/sharedStrings.xml><?xml version="1.0" encoding="utf-8"?>
<sst xmlns="http://schemas.openxmlformats.org/spreadsheetml/2006/main" count="224" uniqueCount="146">
  <si>
    <t xml:space="preserve">Confronto travi per il telaio</t>
  </si>
  <si>
    <t xml:space="preserve">Stesso schema per tutte: 8 gambe, 3 campate (cassetti 500 · seduta 700 · ricarica = il resto), traverse dello stesso profilo, 4 montanti mensola. Taglio 4 mm + 10 mm di rifilatura per barra.</t>
  </si>
  <si>
    <t xml:space="preserve">Trave</t>
  </si>
  <si>
    <t xml:space="preserve">Sezione b×h (mm)</t>
  </si>
  <si>
    <t xml:space="preserve">Lungh. barra (m)</t>
  </si>
  <si>
    <t xml:space="preserve">Prezzo barra</t>
  </si>
  <si>
    <t xml:space="preserve">Prezzo al metro</t>
  </si>
  <si>
    <t xml:space="preserve">Sezione (cm²)</t>
  </si>
  <si>
    <t xml:space="preserve">Rigidezza gamba avanti-indietro (8×8 = 1)</t>
  </si>
  <si>
    <t xml:space="preserve">Metri necessari</t>
  </si>
  <si>
    <t xml:space="preserve">Barre necessarie</t>
  </si>
  <si>
    <t xml:space="preserve">Costo telaio</t>
  </si>
  <si>
    <t xml:space="preserve">Sfrido (m)</t>
  </si>
  <si>
    <t xml:space="preserve">Campata ricarica (mm)</t>
  </si>
  <si>
    <t xml:space="preserve">Essiccato / classificato</t>
  </si>
  <si>
    <t xml:space="preserve">Valutazione</t>
  </si>
  <si>
    <t xml:space="preserve">Trave abete 120×120 – 6 m</t>
  </si>
  <si>
    <t xml:space="preserve">120×120</t>
  </si>
  <si>
    <t xml:space="preserve">Da verificare col rivenditore</t>
  </si>
  <si>
    <t xml:space="preserve">Molto robusta ma sovradimensionata: costa ~1,9× il KVH al metro, pesa il doppio e le gambe larghe 12 cm riducono la campata ricarica a 320 mm. Barre da 6 m difficili da trasportare.</t>
  </si>
  <si>
    <t xml:space="preserve">Trave abete 120×120 – 4 m</t>
  </si>
  <si>
    <t xml:space="preserve">Come sopra, senza il problema del trasporto ma con più sfrido.</t>
  </si>
  <si>
    <t xml:space="preserve">Trave abete 90×90 – 4 m</t>
  </si>
  <si>
    <t xml:space="preserve">90×90</t>
  </si>
  <si>
    <t xml:space="preserve">Costa più del KVH 80×120 al metro con meno legno e meno rigidezza. Se non è essiccata in forno tende a fessurarsi e svergolare dopo il taglio.</t>
  </si>
  <si>
    <t xml:space="preserve">KVH giuntato 80×120 – 4 m</t>
  </si>
  <si>
    <t xml:space="preserve">80×120</t>
  </si>
  <si>
    <t xml:space="preserve">Sì – KVH, C24, umidità 15±3%</t>
  </si>
  <si>
    <t xml:space="preserve">SCELTA: il prezzo al metro più basso, la sezione più adatta (lato da 120 dove spingono le presse), legno essiccato al 15% e piallato: resta dritto. Le misure del progetto restano quelle concordate.</t>
  </si>
  <si>
    <t xml:space="preserve">KVH giuntato 100×120 – 4 m</t>
  </si>
  <si>
    <t xml:space="preserve">100×120</t>
  </si>
  <si>
    <t xml:space="preserve">Stessa qualità del 80×120 ma +33% di prezzo per una rigidezza in più che qui non serve; le gambe più larghe tolgono 80 mm alla campata ricarica.</t>
  </si>
  <si>
    <t xml:space="preserve">Legenda</t>
  </si>
  <si>
    <t xml:space="preserve">Testo blu = dato modificabile (prezzi e lunghezze forniti da te, quantità dall'ottimizzazione). Testo nero = formula.</t>
  </si>
  <si>
    <t xml:space="preserve">Riga verde = trave scelta per il progetto.</t>
  </si>
  <si>
    <t xml:space="preserve">Distinta e costi – tavolo in KVH 80×120</t>
  </si>
  <si>
    <t xml:space="preserve">Celle gialle = prezzo stimato da verificare: sostituiscilo con il prezzo reale e i totali si aggiornano. Prezzi senza giallo = forniti da te.</t>
  </si>
  <si>
    <t xml:space="preserve">Categoria</t>
  </si>
  <si>
    <t xml:space="preserve">Articolo</t>
  </si>
  <si>
    <t xml:space="preserve">Uso</t>
  </si>
  <si>
    <t xml:space="preserve">Q.tà</t>
  </si>
  <si>
    <t xml:space="preserve">Unità</t>
  </si>
  <si>
    <t xml:space="preserve">Prezzo unitario</t>
  </si>
  <si>
    <t xml:space="preserve">Totale</t>
  </si>
  <si>
    <t xml:space="preserve">Fonte prezzo</t>
  </si>
  <si>
    <t xml:space="preserve">Legno</t>
  </si>
  <si>
    <t xml:space="preserve">Trave KVH giuntato 80×120, barra 4 m</t>
  </si>
  <si>
    <t xml:space="preserve">gambe, traverse, montanti mensola (schema senza margine: +1 barra se temi errori di taglio)</t>
  </si>
  <si>
    <t xml:space="preserve">pz</t>
  </si>
  <si>
    <t xml:space="preserve">fornito da te</t>
  </si>
  <si>
    <t xml:space="preserve">Tavola abete lamellare 2000×800×40</t>
  </si>
  <si>
    <t xml:space="preserve">pannello 1: piano di lavoro (intero, senza tagli)</t>
  </si>
  <si>
    <t xml:space="preserve">pannello 2: mensola, rinforzo ricarica, 2 ripiani bassi</t>
  </si>
  <si>
    <t xml:space="preserve">Multistrato pioppo 18 mm, pannello 2500×1250</t>
  </si>
  <si>
    <t xml:space="preserve">cassettiera, frontali, ripiano posteriore seduta</t>
  </si>
  <si>
    <t xml:space="preserve">stima – da verificare</t>
  </si>
  <si>
    <t xml:space="preserve">Multistrato 15 mm, mezzo pannello 1250×1250</t>
  </si>
  <si>
    <t xml:space="preserve">scatole dei 4 cassetti</t>
  </si>
  <si>
    <t xml:space="preserve">HDF 4 mm, mezzo pannello</t>
  </si>
  <si>
    <t xml:space="preserve">fondi cassetti, schienale cassettiera</t>
  </si>
  <si>
    <t xml:space="preserve">Listello abete 30×40, barra 2,4 m</t>
  </si>
  <si>
    <t xml:space="preserve">reggiripiano (4 × 560 + 2 × 300)</t>
  </si>
  <si>
    <t xml:space="preserve">Ferramenta telaio</t>
  </si>
  <si>
    <t xml:space="preserve">Bullone TCEI M10×180 + rondella Ø20 (B1)</t>
  </si>
  <si>
    <t xml:space="preserve">traverse laterali, 16 testate</t>
  </si>
  <si>
    <t xml:space="preserve">Bullone TCEI M10×140 + rondella Ø20 (B2)</t>
  </si>
  <si>
    <t xml:space="preserve">traverse longitudinali sulle gambe con una sola traversa</t>
  </si>
  <si>
    <t xml:space="preserve">Dado a tamburo M10 (D)</t>
  </si>
  <si>
    <t xml:space="preserve">32 testate di traversa + 4 mensola</t>
  </si>
  <si>
    <t xml:space="preserve">Barra filettata M10 da 1 m (R, M) + 4 dadi ciechi + 4 rondelle</t>
  </si>
  <si>
    <t xml:space="preserve">4 spezzoni 220 (gambe centrali) + 4 spezzoni 400 (mensola)</t>
  </si>
  <si>
    <t xml:space="preserve">Spine in faggio Ø12×50 (conf. 100)</t>
  </si>
  <si>
    <t xml:space="preserve">2 per nodo, antirotazione</t>
  </si>
  <si>
    <t xml:space="preserve">conf</t>
  </si>
  <si>
    <t xml:space="preserve">Colla vinilica D3 750 g</t>
  </si>
  <si>
    <t xml:space="preserve">spine, rinforzo, cassetti</t>
  </si>
  <si>
    <t xml:space="preserve">Inserto filettato M10 + piedino livellatore</t>
  </si>
  <si>
    <t xml:space="preserve">base gambe</t>
  </si>
  <si>
    <t xml:space="preserve">Squadrette fissaggio piano</t>
  </si>
  <si>
    <t xml:space="preserve">piano su traverse</t>
  </si>
  <si>
    <t xml:space="preserve">Viti assortite (5×60, 5×70, 4×45, 4×50, 3,5×30, 4,5×25)</t>
  </si>
  <si>
    <t xml:space="preserve">rinforzo, listelli, cassettiera, squadrette</t>
  </si>
  <si>
    <t xml:space="preserve">set</t>
  </si>
  <si>
    <t xml:space="preserve">Angolare a L 100×100 + tassello Ø10</t>
  </si>
  <si>
    <t xml:space="preserve">fissaggio a muro</t>
  </si>
  <si>
    <t xml:space="preserve">Zona ricarica</t>
  </si>
  <si>
    <t xml:space="preserve">Piastre acciaio tagliate e forate (base 180×180×12, contropiastra 220×220×6, 3 piastre 180×180×10)</t>
  </si>
  <si>
    <t xml:space="preserve">attacco presse e morsa</t>
  </si>
  <si>
    <t xml:space="preserve">lotto</t>
  </si>
  <si>
    <t xml:space="preserve">Viti TSPEI M10×110 + rondella larga + dado autobloccante</t>
  </si>
  <si>
    <t xml:space="preserve">base attacco, 2 posteriori (contropiastra)</t>
  </si>
  <si>
    <t xml:space="preserve">Viti TSPEI M10×200 + rondella larga + dado autobloccante</t>
  </si>
  <si>
    <t xml:space="preserve">base attacco, 2 anteriori (attraversano la traversa)</t>
  </si>
  <si>
    <t xml:space="preserve">Manopole a stella M12 + 2 spine Ø10 h8</t>
  </si>
  <si>
    <t xml:space="preserve">bloccaggio piastre</t>
  </si>
  <si>
    <t xml:space="preserve">kit</t>
  </si>
  <si>
    <t xml:space="preserve">Cassetti</t>
  </si>
  <si>
    <t xml:space="preserve">Guide a sfera estrazione totale 500 mm (coppia)</t>
  </si>
  <si>
    <t xml:space="preserve">3 cassettiera + 1 appeso</t>
  </si>
  <si>
    <t xml:space="preserve">cp</t>
  </si>
  <si>
    <t xml:space="preserve">Maniglie</t>
  </si>
  <si>
    <t xml:space="preserve">Elettrico</t>
  </si>
  <si>
    <t xml:space="preserve">Canalina passacavi sottoscrivania</t>
  </si>
  <si>
    <t xml:space="preserve">una per campata</t>
  </si>
  <si>
    <t xml:space="preserve">Passacavi Ø60 da incasso</t>
  </si>
  <si>
    <t xml:space="preserve">piano</t>
  </si>
  <si>
    <t xml:space="preserve">Ciabatta 6 prese con interruttore</t>
  </si>
  <si>
    <t xml:space="preserve">campata seduta</t>
  </si>
  <si>
    <t xml:space="preserve">Finitura</t>
  </si>
  <si>
    <t xml:space="preserve">Olio/impregnante per legno 750 ml + abrasivi</t>
  </si>
  <si>
    <t xml:space="preserve">piano e telaio</t>
  </si>
  <si>
    <t xml:space="preserve">Prezzi forniti</t>
  </si>
  <si>
    <t xml:space="preserve">Stime</t>
  </si>
  <si>
    <t xml:space="preserve">TOTALE</t>
  </si>
  <si>
    <t xml:space="preserve">di cui legno</t>
  </si>
  <si>
    <t xml:space="preserve">di cui ferramenta telaio</t>
  </si>
  <si>
    <t xml:space="preserve">di cui zona ricarica</t>
  </si>
  <si>
    <t xml:space="preserve">di cui cassetti</t>
  </si>
  <si>
    <t xml:space="preserve">di cui elettrico</t>
  </si>
  <si>
    <t xml:space="preserve">di cui finitura</t>
  </si>
  <si>
    <t xml:space="preserve">Prezzo travi e lamellare: forniti da te. Tutte le altre voci sono stime di prezzo medio al dettaglio, da sostituire con preventivi reali; le piastre d'acciaio dipendono molto dall'officina.</t>
  </si>
  <si>
    <t xml:space="preserve">Taglio travi KVH 80×120 (barre da 4 m)</t>
  </si>
  <si>
    <t xml:space="preserve">Pezzo</t>
  </si>
  <si>
    <t xml:space="preserve">Lunghezza (mm)</t>
  </si>
  <si>
    <t xml:space="preserve">Totale (mm)</t>
  </si>
  <si>
    <t xml:space="preserve">Gamba</t>
  </si>
  <si>
    <t xml:space="preserve">Traversa longitudinale</t>
  </si>
  <si>
    <t xml:space="preserve">Traversa laterale (profondità)</t>
  </si>
  <si>
    <t xml:space="preserve">Montante mensola</t>
  </si>
  <si>
    <t xml:space="preserve">Barra</t>
  </si>
  <si>
    <t xml:space="preserve">Tagli (mm, nell'ordine)</t>
  </si>
  <si>
    <t xml:space="preserve">Usato (mm)</t>
  </si>
  <si>
    <t xml:space="preserve">Avanzo (mm)</t>
  </si>
  <si>
    <t xml:space="preserve">Barra 1</t>
  </si>
  <si>
    <t xml:space="preserve">700 + 700 + 700 + 700 + 560 + 500</t>
  </si>
  <si>
    <t xml:space="preserve">Barra 2</t>
  </si>
  <si>
    <t xml:space="preserve">Barra 3</t>
  </si>
  <si>
    <t xml:space="preserve">700 + 560 + 560 + 560 + 480 + 480 + 250 + 250</t>
  </si>
  <si>
    <t xml:space="preserve">Barra 4</t>
  </si>
  <si>
    <t xml:space="preserve">Utilizzati: taglio 4 mm e 10 mm di rifilatura testate per barra. Lo schema usa 4 barre con pochi cm di avanzo: misura e taglia con attenzione, oppure prendi una barra in più come scorta. Se il rivenditore taglia a misura, porta questa lista: i pezzi sono facili da trasportare.</t>
  </si>
  <si>
    <t xml:space="preserve">Pannello lamellare 2 (2000×800×40) – schema di taglio</t>
  </si>
  <si>
    <t xml:space="preserve">1. Striscia 2000×260 → mensola rialzata</t>
  </si>
  <si>
    <t xml:space="preserve">2. Dalla striscia restante (2000×536): rinforzo ricarica 480×520</t>
  </si>
  <si>
    <t xml:space="preserve">3. Ripiano basso cassetti 560×500 (560 lungo la tavola)</t>
  </si>
  <si>
    <t xml:space="preserve">4. Ripiano basso ricarica 560×480 (560 lungo la tavola)</t>
  </si>
  <si>
    <t xml:space="preserve">Avanzo ≈ 390×536: tienilo per riparazioni o una mensolina.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</si>
</sst>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.00&quot; €&quot;;\-#,##0.00&quot; €&quot;;\-"/>
    <numFmt numFmtId="167" formatCode="#,##0.00&quot; €/m&quot;"/>
    <numFmt numFmtId="168" formatCode="0"/>
    <numFmt numFmtId="169" formatCode="0.00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DFCC"/>
        <bgColor rgb="FFDCEBD6"/>
      </patternFill>
    </fill>
    <fill>
      <patternFill patternType="solid">
        <fgColor rgb="FFDCEBD6"/>
        <bgColor rgb="FFE9DFCC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6"/>
      <rgbColor rgb="FFFFF2A8"/>
      <rgbColor rgb="FF99CCFF"/>
      <rgbColor rgb="FFFF99CC"/>
      <rgbColor rgb="FFCC99FF"/>
      <rgbColor rgb="FFE9DF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48" hidden="false" customHeight="true" outlineLevel="0" collapsed="false">
      <c r="A5" s="4" t="s">
        <v>16</v>
      </c>
      <c r="B5" s="4" t="s">
        <v>17</v>
      </c>
      <c r="C5" s="5" t="n">
        <v>6</v>
      </c>
      <c r="D5" s="6" t="n">
        <v>83.5</v>
      </c>
      <c r="E5" s="7" t="n">
        <f aca="false">D5/C5</f>
        <v>13.9166666666667</v>
      </c>
      <c r="F5" s="8" t="n">
        <v>144</v>
      </c>
      <c r="G5" s="5" t="n">
        <v>5.06</v>
      </c>
      <c r="H5" s="9" t="n">
        <v>14.76</v>
      </c>
      <c r="I5" s="8" t="n">
        <v>3</v>
      </c>
      <c r="J5" s="10" t="n">
        <f aca="false">I5*D5</f>
        <v>250.5</v>
      </c>
      <c r="K5" s="11" t="n">
        <f aca="false">I5*C5-H5</f>
        <v>3.24</v>
      </c>
      <c r="L5" s="8" t="n">
        <v>320</v>
      </c>
      <c r="M5" s="4" t="s">
        <v>18</v>
      </c>
      <c r="N5" s="12" t="s">
        <v>19</v>
      </c>
    </row>
    <row r="6" customFormat="false" ht="48" hidden="false" customHeight="true" outlineLevel="0" collapsed="false">
      <c r="A6" s="4" t="s">
        <v>20</v>
      </c>
      <c r="B6" s="4" t="s">
        <v>17</v>
      </c>
      <c r="C6" s="5" t="n">
        <v>4</v>
      </c>
      <c r="D6" s="6" t="n">
        <v>55.9</v>
      </c>
      <c r="E6" s="7" t="n">
        <f aca="false">D6/C6</f>
        <v>13.975</v>
      </c>
      <c r="F6" s="8" t="n">
        <v>144</v>
      </c>
      <c r="G6" s="5" t="n">
        <v>5.06</v>
      </c>
      <c r="H6" s="9" t="n">
        <v>14.76</v>
      </c>
      <c r="I6" s="8" t="n">
        <v>4</v>
      </c>
      <c r="J6" s="10" t="n">
        <f aca="false">I6*D6</f>
        <v>223.6</v>
      </c>
      <c r="K6" s="11" t="n">
        <f aca="false">I6*C6-H6</f>
        <v>1.24</v>
      </c>
      <c r="L6" s="8" t="n">
        <v>320</v>
      </c>
      <c r="M6" s="4" t="s">
        <v>18</v>
      </c>
      <c r="N6" s="12" t="s">
        <v>21</v>
      </c>
    </row>
    <row r="7" customFormat="false" ht="48" hidden="false" customHeight="true" outlineLevel="0" collapsed="false">
      <c r="A7" s="4" t="s">
        <v>22</v>
      </c>
      <c r="B7" s="4" t="s">
        <v>23</v>
      </c>
      <c r="C7" s="5" t="n">
        <v>4</v>
      </c>
      <c r="D7" s="6" t="n">
        <v>31.9</v>
      </c>
      <c r="E7" s="7" t="n">
        <f aca="false">D7/C7</f>
        <v>7.975</v>
      </c>
      <c r="F7" s="8" t="n">
        <v>81</v>
      </c>
      <c r="G7" s="5" t="n">
        <v>1.6</v>
      </c>
      <c r="H7" s="9" t="n">
        <v>15.72</v>
      </c>
      <c r="I7" s="8" t="n">
        <v>4</v>
      </c>
      <c r="J7" s="10" t="n">
        <f aca="false">I7*D7</f>
        <v>127.6</v>
      </c>
      <c r="K7" s="11" t="n">
        <f aca="false">I7*C7-H7</f>
        <v>0.279999999999999</v>
      </c>
      <c r="L7" s="8" t="n">
        <v>440</v>
      </c>
      <c r="M7" s="4" t="s">
        <v>18</v>
      </c>
      <c r="N7" s="12" t="s">
        <v>24</v>
      </c>
    </row>
    <row r="8" customFormat="false" ht="48" hidden="false" customHeight="true" outlineLevel="0" collapsed="false">
      <c r="A8" s="13" t="s">
        <v>25</v>
      </c>
      <c r="B8" s="14" t="s">
        <v>26</v>
      </c>
      <c r="C8" s="15" t="n">
        <v>4</v>
      </c>
      <c r="D8" s="16" t="n">
        <v>29.9</v>
      </c>
      <c r="E8" s="17" t="n">
        <f aca="false">D8/C8</f>
        <v>7.475</v>
      </c>
      <c r="F8" s="18" t="n">
        <v>96</v>
      </c>
      <c r="G8" s="15" t="n">
        <v>3.38</v>
      </c>
      <c r="H8" s="19" t="n">
        <v>15.4</v>
      </c>
      <c r="I8" s="18" t="n">
        <v>4</v>
      </c>
      <c r="J8" s="20" t="n">
        <f aca="false">I8*D8</f>
        <v>119.6</v>
      </c>
      <c r="K8" s="21" t="n">
        <f aca="false">I8*C8-H8</f>
        <v>0.6</v>
      </c>
      <c r="L8" s="18" t="n">
        <v>480</v>
      </c>
      <c r="M8" s="14" t="s">
        <v>27</v>
      </c>
      <c r="N8" s="22" t="s">
        <v>28</v>
      </c>
    </row>
    <row r="9" customFormat="false" ht="48" hidden="false" customHeight="true" outlineLevel="0" collapsed="false">
      <c r="A9" s="4" t="s">
        <v>29</v>
      </c>
      <c r="B9" s="4" t="s">
        <v>30</v>
      </c>
      <c r="C9" s="5" t="n">
        <v>4</v>
      </c>
      <c r="D9" s="6" t="n">
        <v>39.9</v>
      </c>
      <c r="E9" s="7" t="n">
        <f aca="false">D9/C9</f>
        <v>9.975</v>
      </c>
      <c r="F9" s="8" t="n">
        <v>120</v>
      </c>
      <c r="G9" s="5" t="n">
        <v>4.22</v>
      </c>
      <c r="H9" s="9" t="n">
        <v>15.08</v>
      </c>
      <c r="I9" s="8" t="n">
        <v>4</v>
      </c>
      <c r="J9" s="10" t="n">
        <f aca="false">I9*D9</f>
        <v>159.6</v>
      </c>
      <c r="K9" s="11" t="n">
        <f aca="false">I9*C9-H9</f>
        <v>0.92</v>
      </c>
      <c r="L9" s="8" t="n">
        <v>400</v>
      </c>
      <c r="M9" s="4" t="s">
        <v>27</v>
      </c>
      <c r="N9" s="12" t="s">
        <v>31</v>
      </c>
    </row>
    <row r="11" customFormat="false" ht="15" hidden="false" customHeight="false" outlineLevel="0" collapsed="false">
      <c r="A11" s="23" t="s">
        <v>32</v>
      </c>
    </row>
    <row r="12" customFormat="false" ht="15" hidden="false" customHeight="false" outlineLevel="0" collapsed="false">
      <c r="A12" s="24" t="s">
        <v>33</v>
      </c>
    </row>
    <row r="13" customFormat="false" ht="15" hidden="false" customHeight="false" outlineLevel="0" collapsed="false">
      <c r="A13" s="2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6"/>
    <col collapsed="false" customWidth="true" hidden="false" outlineLevel="0" max="5" min="4" style="0" width="8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customFormat="false" ht="26.85" hidden="false" customHeight="false" outlineLevel="0" collapsed="false">
      <c r="A5" s="4" t="s">
        <v>45</v>
      </c>
      <c r="B5" s="12" t="s">
        <v>46</v>
      </c>
      <c r="C5" s="12" t="s">
        <v>47</v>
      </c>
      <c r="D5" s="25" t="n">
        <f aca="false">'Confronto travi'!I8</f>
        <v>4</v>
      </c>
      <c r="E5" s="4" t="s">
        <v>48</v>
      </c>
      <c r="F5" s="26" t="n">
        <f aca="false">'Confronto travi'!D8</f>
        <v>29.9</v>
      </c>
      <c r="G5" s="10" t="n">
        <f aca="false">D5*F5</f>
        <v>119.6</v>
      </c>
      <c r="H5" s="4" t="s">
        <v>49</v>
      </c>
    </row>
    <row r="6" customFormat="false" ht="15" hidden="false" customHeight="false" outlineLevel="0" collapsed="false">
      <c r="A6" s="4" t="s">
        <v>45</v>
      </c>
      <c r="B6" s="12" t="s">
        <v>50</v>
      </c>
      <c r="C6" s="12" t="s">
        <v>51</v>
      </c>
      <c r="D6" s="8" t="n">
        <v>1</v>
      </c>
      <c r="E6" s="4" t="s">
        <v>48</v>
      </c>
      <c r="F6" s="6" t="n">
        <v>79</v>
      </c>
      <c r="G6" s="10" t="n">
        <f aca="false">D6*F6</f>
        <v>79</v>
      </c>
      <c r="H6" s="4" t="s">
        <v>49</v>
      </c>
    </row>
    <row r="7" customFormat="false" ht="26.85" hidden="false" customHeight="false" outlineLevel="0" collapsed="false">
      <c r="A7" s="4" t="s">
        <v>45</v>
      </c>
      <c r="B7" s="12" t="s">
        <v>50</v>
      </c>
      <c r="C7" s="12" t="s">
        <v>52</v>
      </c>
      <c r="D7" s="8" t="n">
        <v>1</v>
      </c>
      <c r="E7" s="4" t="s">
        <v>48</v>
      </c>
      <c r="F7" s="6" t="n">
        <v>79</v>
      </c>
      <c r="G7" s="10" t="n">
        <f aca="false">D7*F7</f>
        <v>79</v>
      </c>
      <c r="H7" s="4" t="s">
        <v>49</v>
      </c>
    </row>
    <row r="8" customFormat="false" ht="15" hidden="false" customHeight="false" outlineLevel="0" collapsed="false">
      <c r="A8" s="4" t="s">
        <v>45</v>
      </c>
      <c r="B8" s="12" t="s">
        <v>53</v>
      </c>
      <c r="C8" s="12" t="s">
        <v>54</v>
      </c>
      <c r="D8" s="8" t="n">
        <v>1</v>
      </c>
      <c r="E8" s="4" t="s">
        <v>48</v>
      </c>
      <c r="F8" s="27" t="n">
        <v>60</v>
      </c>
      <c r="G8" s="10" t="n">
        <f aca="false">D8*F8</f>
        <v>60</v>
      </c>
      <c r="H8" s="4" t="s">
        <v>55</v>
      </c>
    </row>
    <row r="9" customFormat="false" ht="15" hidden="false" customHeight="false" outlineLevel="0" collapsed="false">
      <c r="A9" s="4" t="s">
        <v>45</v>
      </c>
      <c r="B9" s="12" t="s">
        <v>56</v>
      </c>
      <c r="C9" s="12" t="s">
        <v>57</v>
      </c>
      <c r="D9" s="8" t="n">
        <v>1</v>
      </c>
      <c r="E9" s="4" t="s">
        <v>48</v>
      </c>
      <c r="F9" s="27" t="n">
        <v>35</v>
      </c>
      <c r="G9" s="10" t="n">
        <f aca="false">D9*F9</f>
        <v>35</v>
      </c>
      <c r="H9" s="4" t="s">
        <v>55</v>
      </c>
    </row>
    <row r="10" customFormat="false" ht="15" hidden="false" customHeight="false" outlineLevel="0" collapsed="false">
      <c r="A10" s="4" t="s">
        <v>45</v>
      </c>
      <c r="B10" s="12" t="s">
        <v>58</v>
      </c>
      <c r="C10" s="12" t="s">
        <v>59</v>
      </c>
      <c r="D10" s="8" t="n">
        <v>1</v>
      </c>
      <c r="E10" s="4" t="s">
        <v>48</v>
      </c>
      <c r="F10" s="27" t="n">
        <v>10</v>
      </c>
      <c r="G10" s="10" t="n">
        <f aca="false">D10*F10</f>
        <v>10</v>
      </c>
      <c r="H10" s="4" t="s">
        <v>55</v>
      </c>
    </row>
    <row r="11" customFormat="false" ht="15" hidden="false" customHeight="false" outlineLevel="0" collapsed="false">
      <c r="A11" s="4" t="s">
        <v>45</v>
      </c>
      <c r="B11" s="12" t="s">
        <v>60</v>
      </c>
      <c r="C11" s="12" t="s">
        <v>61</v>
      </c>
      <c r="D11" s="8" t="n">
        <v>2</v>
      </c>
      <c r="E11" s="4" t="s">
        <v>48</v>
      </c>
      <c r="F11" s="27" t="n">
        <v>5</v>
      </c>
      <c r="G11" s="10" t="n">
        <f aca="false">D11*F11</f>
        <v>10</v>
      </c>
      <c r="H11" s="4" t="s">
        <v>55</v>
      </c>
    </row>
    <row r="12" customFormat="false" ht="15" hidden="false" customHeight="false" outlineLevel="0" collapsed="false">
      <c r="A12" s="4" t="s">
        <v>62</v>
      </c>
      <c r="B12" s="12" t="s">
        <v>63</v>
      </c>
      <c r="C12" s="12" t="s">
        <v>64</v>
      </c>
      <c r="D12" s="8" t="n">
        <v>16</v>
      </c>
      <c r="E12" s="4" t="s">
        <v>48</v>
      </c>
      <c r="F12" s="27" t="n">
        <v>1.2</v>
      </c>
      <c r="G12" s="10" t="n">
        <f aca="false">D12*F12</f>
        <v>19.2</v>
      </c>
      <c r="H12" s="4" t="s">
        <v>55</v>
      </c>
    </row>
    <row r="13" customFormat="false" ht="26.85" hidden="false" customHeight="false" outlineLevel="0" collapsed="false">
      <c r="A13" s="4" t="s">
        <v>62</v>
      </c>
      <c r="B13" s="12" t="s">
        <v>65</v>
      </c>
      <c r="C13" s="12" t="s">
        <v>66</v>
      </c>
      <c r="D13" s="8" t="n">
        <v>8</v>
      </c>
      <c r="E13" s="4" t="s">
        <v>48</v>
      </c>
      <c r="F13" s="27" t="n">
        <v>1</v>
      </c>
      <c r="G13" s="10" t="n">
        <f aca="false">D13*F13</f>
        <v>8</v>
      </c>
      <c r="H13" s="4" t="s">
        <v>55</v>
      </c>
    </row>
    <row r="14" customFormat="false" ht="15" hidden="false" customHeight="false" outlineLevel="0" collapsed="false">
      <c r="A14" s="4" t="s">
        <v>62</v>
      </c>
      <c r="B14" s="12" t="s">
        <v>67</v>
      </c>
      <c r="C14" s="12" t="s">
        <v>68</v>
      </c>
      <c r="D14" s="8" t="n">
        <v>36</v>
      </c>
      <c r="E14" s="4" t="s">
        <v>48</v>
      </c>
      <c r="F14" s="27" t="n">
        <v>0.8</v>
      </c>
      <c r="G14" s="10" t="n">
        <f aca="false">D14*F14</f>
        <v>28.8</v>
      </c>
      <c r="H14" s="4" t="s">
        <v>55</v>
      </c>
    </row>
    <row r="15" customFormat="false" ht="26.85" hidden="false" customHeight="false" outlineLevel="0" collapsed="false">
      <c r="A15" s="4" t="s">
        <v>62</v>
      </c>
      <c r="B15" s="12" t="s">
        <v>69</v>
      </c>
      <c r="C15" s="12" t="s">
        <v>70</v>
      </c>
      <c r="D15" s="8" t="n">
        <v>3</v>
      </c>
      <c r="E15" s="4" t="s">
        <v>48</v>
      </c>
      <c r="F15" s="27" t="n">
        <v>3.5</v>
      </c>
      <c r="G15" s="10" t="n">
        <f aca="false">D15*F15</f>
        <v>10.5</v>
      </c>
      <c r="H15" s="4" t="s">
        <v>55</v>
      </c>
    </row>
    <row r="16" customFormat="false" ht="15" hidden="false" customHeight="false" outlineLevel="0" collapsed="false">
      <c r="A16" s="4" t="s">
        <v>62</v>
      </c>
      <c r="B16" s="12" t="s">
        <v>71</v>
      </c>
      <c r="C16" s="12" t="s">
        <v>72</v>
      </c>
      <c r="D16" s="8" t="n">
        <v>1</v>
      </c>
      <c r="E16" s="4" t="s">
        <v>73</v>
      </c>
      <c r="F16" s="27" t="n">
        <v>6</v>
      </c>
      <c r="G16" s="10" t="n">
        <f aca="false">D16*F16</f>
        <v>6</v>
      </c>
      <c r="H16" s="4" t="s">
        <v>55</v>
      </c>
    </row>
    <row r="17" customFormat="false" ht="15" hidden="false" customHeight="false" outlineLevel="0" collapsed="false">
      <c r="A17" s="4" t="s">
        <v>62</v>
      </c>
      <c r="B17" s="12" t="s">
        <v>74</v>
      </c>
      <c r="C17" s="12" t="s">
        <v>75</v>
      </c>
      <c r="D17" s="8" t="n">
        <v>1</v>
      </c>
      <c r="E17" s="4" t="s">
        <v>48</v>
      </c>
      <c r="F17" s="27" t="n">
        <v>9</v>
      </c>
      <c r="G17" s="10" t="n">
        <f aca="false">D17*F17</f>
        <v>9</v>
      </c>
      <c r="H17" s="4" t="s">
        <v>55</v>
      </c>
    </row>
    <row r="18" customFormat="false" ht="15" hidden="false" customHeight="false" outlineLevel="0" collapsed="false">
      <c r="A18" s="4" t="s">
        <v>62</v>
      </c>
      <c r="B18" s="12" t="s">
        <v>76</v>
      </c>
      <c r="C18" s="12" t="s">
        <v>77</v>
      </c>
      <c r="D18" s="8" t="n">
        <v>8</v>
      </c>
      <c r="E18" s="4" t="s">
        <v>48</v>
      </c>
      <c r="F18" s="27" t="n">
        <v>3</v>
      </c>
      <c r="G18" s="10" t="n">
        <f aca="false">D18*F18</f>
        <v>24</v>
      </c>
      <c r="H18" s="4" t="s">
        <v>55</v>
      </c>
    </row>
    <row r="19" customFormat="false" ht="15" hidden="false" customHeight="false" outlineLevel="0" collapsed="false">
      <c r="A19" s="4" t="s">
        <v>62</v>
      </c>
      <c r="B19" s="12" t="s">
        <v>78</v>
      </c>
      <c r="C19" s="12" t="s">
        <v>79</v>
      </c>
      <c r="D19" s="8" t="n">
        <v>16</v>
      </c>
      <c r="E19" s="4" t="s">
        <v>48</v>
      </c>
      <c r="F19" s="27" t="n">
        <v>0.6</v>
      </c>
      <c r="G19" s="10" t="n">
        <f aca="false">D19*F19</f>
        <v>9.6</v>
      </c>
      <c r="H19" s="4" t="s">
        <v>55</v>
      </c>
    </row>
    <row r="20" customFormat="false" ht="26.85" hidden="false" customHeight="false" outlineLevel="0" collapsed="false">
      <c r="A20" s="4" t="s">
        <v>62</v>
      </c>
      <c r="B20" s="12" t="s">
        <v>80</v>
      </c>
      <c r="C20" s="12" t="s">
        <v>81</v>
      </c>
      <c r="D20" s="8" t="n">
        <v>1</v>
      </c>
      <c r="E20" s="4" t="s">
        <v>82</v>
      </c>
      <c r="F20" s="27" t="n">
        <v>20</v>
      </c>
      <c r="G20" s="10" t="n">
        <f aca="false">D20*F20</f>
        <v>20</v>
      </c>
      <c r="H20" s="4" t="s">
        <v>55</v>
      </c>
    </row>
    <row r="21" customFormat="false" ht="15" hidden="false" customHeight="false" outlineLevel="0" collapsed="false">
      <c r="A21" s="4" t="s">
        <v>62</v>
      </c>
      <c r="B21" s="12" t="s">
        <v>83</v>
      </c>
      <c r="C21" s="12" t="s">
        <v>84</v>
      </c>
      <c r="D21" s="8" t="n">
        <v>4</v>
      </c>
      <c r="E21" s="4" t="s">
        <v>48</v>
      </c>
      <c r="F21" s="27" t="n">
        <v>4</v>
      </c>
      <c r="G21" s="10" t="n">
        <f aca="false">D21*F21</f>
        <v>16</v>
      </c>
      <c r="H21" s="4" t="s">
        <v>55</v>
      </c>
    </row>
    <row r="22" customFormat="false" ht="39.55" hidden="false" customHeight="false" outlineLevel="0" collapsed="false">
      <c r="A22" s="4" t="s">
        <v>85</v>
      </c>
      <c r="B22" s="12" t="s">
        <v>86</v>
      </c>
      <c r="C22" s="12" t="s">
        <v>87</v>
      </c>
      <c r="D22" s="8" t="n">
        <v>1</v>
      </c>
      <c r="E22" s="4" t="s">
        <v>88</v>
      </c>
      <c r="F22" s="27" t="n">
        <v>90</v>
      </c>
      <c r="G22" s="10" t="n">
        <f aca="false">D22*F22</f>
        <v>90</v>
      </c>
      <c r="H22" s="4" t="s">
        <v>55</v>
      </c>
    </row>
    <row r="23" customFormat="false" ht="26.85" hidden="false" customHeight="false" outlineLevel="0" collapsed="false">
      <c r="A23" s="4" t="s">
        <v>85</v>
      </c>
      <c r="B23" s="12" t="s">
        <v>89</v>
      </c>
      <c r="C23" s="12" t="s">
        <v>90</v>
      </c>
      <c r="D23" s="8" t="n">
        <v>2</v>
      </c>
      <c r="E23" s="4" t="s">
        <v>82</v>
      </c>
      <c r="F23" s="27" t="n">
        <v>1.5</v>
      </c>
      <c r="G23" s="10" t="n">
        <f aca="false">D23*F23</f>
        <v>3</v>
      </c>
      <c r="H23" s="4" t="s">
        <v>55</v>
      </c>
    </row>
    <row r="24" customFormat="false" ht="26.85" hidden="false" customHeight="false" outlineLevel="0" collapsed="false">
      <c r="A24" s="4" t="s">
        <v>85</v>
      </c>
      <c r="B24" s="12" t="s">
        <v>91</v>
      </c>
      <c r="C24" s="12" t="s">
        <v>92</v>
      </c>
      <c r="D24" s="8" t="n">
        <v>2</v>
      </c>
      <c r="E24" s="4" t="s">
        <v>82</v>
      </c>
      <c r="F24" s="27" t="n">
        <v>2</v>
      </c>
      <c r="G24" s="10" t="n">
        <f aca="false">D24*F24</f>
        <v>4</v>
      </c>
      <c r="H24" s="4" t="s">
        <v>55</v>
      </c>
    </row>
    <row r="25" customFormat="false" ht="15" hidden="false" customHeight="false" outlineLevel="0" collapsed="false">
      <c r="A25" s="4" t="s">
        <v>85</v>
      </c>
      <c r="B25" s="12" t="s">
        <v>93</v>
      </c>
      <c r="C25" s="12" t="s">
        <v>94</v>
      </c>
      <c r="D25" s="8" t="n">
        <v>1</v>
      </c>
      <c r="E25" s="4" t="s">
        <v>95</v>
      </c>
      <c r="F25" s="27" t="n">
        <v>10</v>
      </c>
      <c r="G25" s="10" t="n">
        <f aca="false">D25*F25</f>
        <v>10</v>
      </c>
      <c r="H25" s="4" t="s">
        <v>55</v>
      </c>
    </row>
    <row r="26" customFormat="false" ht="15" hidden="false" customHeight="false" outlineLevel="0" collapsed="false">
      <c r="A26" s="4" t="s">
        <v>96</v>
      </c>
      <c r="B26" s="12" t="s">
        <v>97</v>
      </c>
      <c r="C26" s="12" t="s">
        <v>98</v>
      </c>
      <c r="D26" s="8" t="n">
        <v>4</v>
      </c>
      <c r="E26" s="4" t="s">
        <v>99</v>
      </c>
      <c r="F26" s="27" t="n">
        <v>12</v>
      </c>
      <c r="G26" s="10" t="n">
        <f aca="false">D26*F26</f>
        <v>48</v>
      </c>
      <c r="H26" s="4" t="s">
        <v>55</v>
      </c>
    </row>
    <row r="27" customFormat="false" ht="15" hidden="false" customHeight="false" outlineLevel="0" collapsed="false">
      <c r="A27" s="4" t="s">
        <v>96</v>
      </c>
      <c r="B27" s="12" t="s">
        <v>100</v>
      </c>
      <c r="C27" s="12"/>
      <c r="D27" s="8" t="n">
        <v>4</v>
      </c>
      <c r="E27" s="4" t="s">
        <v>48</v>
      </c>
      <c r="F27" s="27" t="n">
        <v>4</v>
      </c>
      <c r="G27" s="10" t="n">
        <f aca="false">D27*F27</f>
        <v>16</v>
      </c>
      <c r="H27" s="4" t="s">
        <v>55</v>
      </c>
    </row>
    <row r="28" customFormat="false" ht="15" hidden="false" customHeight="false" outlineLevel="0" collapsed="false">
      <c r="A28" s="4" t="s">
        <v>101</v>
      </c>
      <c r="B28" s="12" t="s">
        <v>102</v>
      </c>
      <c r="C28" s="12" t="s">
        <v>103</v>
      </c>
      <c r="D28" s="8" t="n">
        <v>3</v>
      </c>
      <c r="E28" s="4" t="s">
        <v>48</v>
      </c>
      <c r="F28" s="27" t="n">
        <v>15</v>
      </c>
      <c r="G28" s="10" t="n">
        <f aca="false">D28*F28</f>
        <v>45</v>
      </c>
      <c r="H28" s="4" t="s">
        <v>55</v>
      </c>
    </row>
    <row r="29" customFormat="false" ht="15" hidden="false" customHeight="false" outlineLevel="0" collapsed="false">
      <c r="A29" s="4" t="s">
        <v>101</v>
      </c>
      <c r="B29" s="12" t="s">
        <v>104</v>
      </c>
      <c r="C29" s="12" t="s">
        <v>105</v>
      </c>
      <c r="D29" s="8" t="n">
        <v>2</v>
      </c>
      <c r="E29" s="4" t="s">
        <v>48</v>
      </c>
      <c r="F29" s="27" t="n">
        <v>4</v>
      </c>
      <c r="G29" s="10" t="n">
        <f aca="false">D29*F29</f>
        <v>8</v>
      </c>
      <c r="H29" s="4" t="s">
        <v>55</v>
      </c>
    </row>
    <row r="30" customFormat="false" ht="15" hidden="false" customHeight="false" outlineLevel="0" collapsed="false">
      <c r="A30" s="4" t="s">
        <v>101</v>
      </c>
      <c r="B30" s="12" t="s">
        <v>106</v>
      </c>
      <c r="C30" s="12" t="s">
        <v>107</v>
      </c>
      <c r="D30" s="8" t="n">
        <v>1</v>
      </c>
      <c r="E30" s="4" t="s">
        <v>48</v>
      </c>
      <c r="F30" s="27" t="n">
        <v>20</v>
      </c>
      <c r="G30" s="10" t="n">
        <f aca="false">D30*F30</f>
        <v>20</v>
      </c>
      <c r="H30" s="4" t="s">
        <v>55</v>
      </c>
    </row>
    <row r="31" customFormat="false" ht="15" hidden="false" customHeight="false" outlineLevel="0" collapsed="false">
      <c r="A31" s="4" t="s">
        <v>108</v>
      </c>
      <c r="B31" s="12" t="s">
        <v>109</v>
      </c>
      <c r="C31" s="12" t="s">
        <v>110</v>
      </c>
      <c r="D31" s="8" t="n">
        <v>1</v>
      </c>
      <c r="E31" s="4" t="s">
        <v>82</v>
      </c>
      <c r="F31" s="27" t="n">
        <v>30</v>
      </c>
      <c r="G31" s="10" t="n">
        <f aca="false">D31*F31</f>
        <v>30</v>
      </c>
      <c r="H31" s="4" t="s">
        <v>55</v>
      </c>
    </row>
    <row r="33" customFormat="false" ht="15" hidden="false" customHeight="false" outlineLevel="0" collapsed="false">
      <c r="F33" s="28" t="s">
        <v>111</v>
      </c>
      <c r="G33" s="10" t="n">
        <f aca="false">SUMIFS(G5:G31,H5:H31,"fornito da te")</f>
        <v>277.6</v>
      </c>
    </row>
    <row r="34" customFormat="false" ht="15" hidden="false" customHeight="false" outlineLevel="0" collapsed="false">
      <c r="F34" s="28" t="s">
        <v>112</v>
      </c>
      <c r="G34" s="10" t="n">
        <f aca="false">SUMIFS(G5:G31,H5:H31,"stima – da verificare")</f>
        <v>540.1</v>
      </c>
    </row>
    <row r="35" customFormat="false" ht="15" hidden="false" customHeight="false" outlineLevel="0" collapsed="false">
      <c r="F35" s="29" t="s">
        <v>113</v>
      </c>
      <c r="G35" s="30" t="n">
        <f aca="false">SUM(G5:G31)</f>
        <v>817.7</v>
      </c>
    </row>
    <row r="37" customFormat="false" ht="15" hidden="false" customHeight="false" outlineLevel="0" collapsed="false">
      <c r="F37" s="28" t="s">
        <v>114</v>
      </c>
      <c r="G37" s="10" t="n">
        <f aca="false">SUMIFS(G5:G31,A5:A31,"Legno")</f>
        <v>392.6</v>
      </c>
    </row>
    <row r="38" customFormat="false" ht="15" hidden="false" customHeight="false" outlineLevel="0" collapsed="false">
      <c r="F38" s="28" t="s">
        <v>115</v>
      </c>
      <c r="G38" s="10" t="n">
        <f aca="false">SUMIFS(G5:G31,A5:A31,"Ferramenta telaio")</f>
        <v>151.1</v>
      </c>
    </row>
    <row r="39" customFormat="false" ht="15" hidden="false" customHeight="false" outlineLevel="0" collapsed="false">
      <c r="F39" s="28" t="s">
        <v>116</v>
      </c>
      <c r="G39" s="10" t="n">
        <f aca="false">SUMIFS(G5:G31,A5:A31,"Zona ricarica")</f>
        <v>107</v>
      </c>
    </row>
    <row r="40" customFormat="false" ht="15" hidden="false" customHeight="false" outlineLevel="0" collapsed="false">
      <c r="F40" s="28" t="s">
        <v>117</v>
      </c>
      <c r="G40" s="10" t="n">
        <f aca="false">SUMIFS(G5:G31,A5:A31,"Cassetti")</f>
        <v>64</v>
      </c>
    </row>
    <row r="41" customFormat="false" ht="15" hidden="false" customHeight="false" outlineLevel="0" collapsed="false">
      <c r="F41" s="28" t="s">
        <v>118</v>
      </c>
      <c r="G41" s="10" t="n">
        <f aca="false">SUMIFS(G5:G31,A5:A31,"Elettrico")</f>
        <v>73</v>
      </c>
    </row>
    <row r="42" customFormat="false" ht="15" hidden="false" customHeight="false" outlineLevel="0" collapsed="false">
      <c r="F42" s="28" t="s">
        <v>119</v>
      </c>
      <c r="G42" s="10" t="n">
        <f aca="false">SUMIFS(G5:G31,A5:A31,"Finitura")</f>
        <v>30</v>
      </c>
    </row>
    <row r="44" customFormat="false" ht="15" hidden="false" customHeight="false" outlineLevel="0" collapsed="false">
      <c r="A44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3" t="s">
        <v>122</v>
      </c>
      <c r="B3" s="3" t="s">
        <v>123</v>
      </c>
      <c r="C3" s="3" t="s">
        <v>40</v>
      </c>
      <c r="D3" s="3" t="s">
        <v>124</v>
      </c>
    </row>
    <row r="4" customFormat="false" ht="15" hidden="false" customHeight="false" outlineLevel="0" collapsed="false">
      <c r="A4" s="4" t="s">
        <v>125</v>
      </c>
      <c r="B4" s="8" t="n">
        <v>700</v>
      </c>
      <c r="C4" s="8" t="n">
        <v>8</v>
      </c>
      <c r="D4" s="31" t="n">
        <f aca="false">B4*C4</f>
        <v>5600</v>
      </c>
    </row>
    <row r="5" customFormat="false" ht="15" hidden="false" customHeight="false" outlineLevel="0" collapsed="false">
      <c r="A5" s="4" t="s">
        <v>126</v>
      </c>
      <c r="B5" s="8" t="n">
        <v>700</v>
      </c>
      <c r="C5" s="8" t="n">
        <v>2</v>
      </c>
      <c r="D5" s="31" t="n">
        <f aca="false">B5*C5</f>
        <v>1400</v>
      </c>
    </row>
    <row r="6" customFormat="false" ht="15" hidden="false" customHeight="false" outlineLevel="0" collapsed="false">
      <c r="A6" s="4" t="s">
        <v>127</v>
      </c>
      <c r="B6" s="8" t="n">
        <v>560</v>
      </c>
      <c r="C6" s="8" t="n">
        <v>8</v>
      </c>
      <c r="D6" s="31" t="n">
        <f aca="false">B6*C6</f>
        <v>4480</v>
      </c>
    </row>
    <row r="7" customFormat="false" ht="15" hidden="false" customHeight="false" outlineLevel="0" collapsed="false">
      <c r="A7" s="4" t="s">
        <v>126</v>
      </c>
      <c r="B7" s="8" t="n">
        <v>500</v>
      </c>
      <c r="C7" s="8" t="n">
        <v>2</v>
      </c>
      <c r="D7" s="31" t="n">
        <f aca="false">B7*C7</f>
        <v>1000</v>
      </c>
    </row>
    <row r="8" customFormat="false" ht="15" hidden="false" customHeight="false" outlineLevel="0" collapsed="false">
      <c r="A8" s="4" t="s">
        <v>126</v>
      </c>
      <c r="B8" s="8" t="n">
        <v>480</v>
      </c>
      <c r="C8" s="8" t="n">
        <v>4</v>
      </c>
      <c r="D8" s="31" t="n">
        <f aca="false">B8*C8</f>
        <v>1920</v>
      </c>
    </row>
    <row r="9" customFormat="false" ht="15" hidden="false" customHeight="false" outlineLevel="0" collapsed="false">
      <c r="A9" s="4" t="s">
        <v>128</v>
      </c>
      <c r="B9" s="8" t="n">
        <v>250</v>
      </c>
      <c r="C9" s="8" t="n">
        <v>4</v>
      </c>
      <c r="D9" s="31" t="n">
        <f aca="false">B9*C9</f>
        <v>1000</v>
      </c>
    </row>
    <row r="10" customFormat="false" ht="15" hidden="false" customHeight="false" outlineLevel="0" collapsed="false">
      <c r="A10" s="32" t="s">
        <v>113</v>
      </c>
      <c r="C10" s="33" t="n">
        <f aca="false">SUM(C4:C9)</f>
        <v>28</v>
      </c>
      <c r="D10" s="34" t="n">
        <f aca="false">SUM(D4:D9)</f>
        <v>15400</v>
      </c>
    </row>
    <row r="12" customFormat="false" ht="15" hidden="false" customHeight="false" outlineLevel="0" collapsed="false">
      <c r="A12" s="35" t="s">
        <v>129</v>
      </c>
      <c r="B12" s="35" t="s">
        <v>130</v>
      </c>
      <c r="C12" s="35" t="s">
        <v>131</v>
      </c>
      <c r="D12" s="35" t="s">
        <v>132</v>
      </c>
    </row>
    <row r="13" customFormat="false" ht="15" hidden="false" customHeight="false" outlineLevel="0" collapsed="false">
      <c r="A13" s="4" t="s">
        <v>133</v>
      </c>
      <c r="B13" s="4" t="s">
        <v>134</v>
      </c>
      <c r="C13" s="36" t="n">
        <v>3894</v>
      </c>
      <c r="D13" s="31" t="n">
        <f aca="false">4000-C13</f>
        <v>106</v>
      </c>
    </row>
    <row r="14" customFormat="false" ht="15" hidden="false" customHeight="false" outlineLevel="0" collapsed="false">
      <c r="A14" s="4" t="s">
        <v>135</v>
      </c>
      <c r="B14" s="4" t="s">
        <v>134</v>
      </c>
      <c r="C14" s="36" t="n">
        <v>3894</v>
      </c>
      <c r="D14" s="31" t="n">
        <f aca="false">4000-C14</f>
        <v>106</v>
      </c>
    </row>
    <row r="15" customFormat="false" ht="15" hidden="false" customHeight="false" outlineLevel="0" collapsed="false">
      <c r="A15" s="4" t="s">
        <v>136</v>
      </c>
      <c r="B15" s="4" t="s">
        <v>137</v>
      </c>
      <c r="C15" s="36" t="n">
        <v>3882</v>
      </c>
      <c r="D15" s="31" t="n">
        <f aca="false">4000-C15</f>
        <v>118</v>
      </c>
    </row>
    <row r="16" customFormat="false" ht="15" hidden="false" customHeight="false" outlineLevel="0" collapsed="false">
      <c r="A16" s="4" t="s">
        <v>138</v>
      </c>
      <c r="B16" s="4" t="s">
        <v>137</v>
      </c>
      <c r="C16" s="36" t="n">
        <v>3882</v>
      </c>
      <c r="D16" s="31" t="n">
        <f aca="false">4000-C16</f>
        <v>118</v>
      </c>
    </row>
    <row r="18" customFormat="false" ht="15" hidden="false" customHeight="false" outlineLevel="0" collapsed="false">
      <c r="A18" s="2" t="s">
        <v>139</v>
      </c>
    </row>
    <row r="20" customFormat="false" ht="15" hidden="false" customHeight="false" outlineLevel="0" collapsed="false">
      <c r="A20" s="23" t="s">
        <v>140</v>
      </c>
    </row>
    <row r="21" customFormat="false" ht="15" hidden="false" customHeight="false" outlineLevel="0" collapsed="false">
      <c r="A21" s="37" t="s">
        <v>141</v>
      </c>
    </row>
    <row r="22" customFormat="false" ht="15" hidden="false" customHeight="false" outlineLevel="0" collapsed="false">
      <c r="A22" s="37" t="s">
        <v>142</v>
      </c>
    </row>
    <row r="23" customFormat="false" ht="15" hidden="false" customHeight="false" outlineLevel="0" collapsed="false">
      <c r="A23" s="37" t="s">
        <v>143</v>
      </c>
    </row>
    <row r="24" customFormat="false" ht="15" hidden="false" customHeight="false" outlineLevel="0" collapsed="false">
      <c r="A24" s="37" t="s">
        <v>144</v>
      </c>
    </row>
    <row r="25" customFormat="false" ht="15" hidden="false" customHeight="false" outlineLevel="0" collapsed="false">
      <c r="A25" s="3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2026-10-18T07:49:30Z</dcterms:created>
  <dc:creator>openpyxl</dc:creator>
  <dc:description/>
  <dc:language>en-US</dc:language>
  <cp:lastModifiedBy/>
  <dcterms:modified xsi:type="dcterms:W3CDTF">2026-10-18T07:49:30Z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