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stinta costi" sheetId="1" state="visible" r:id="rId3"/>
    <sheet name="Confronto travi" sheetId="2" state="visible" r:id="rId4"/>
    <sheet name="Confronto ripiani" sheetId="3" state="visible" r:id="rId5"/>
    <sheet name="Taglio travi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<sst xmlns="http://schemas.openxmlformats.org/spreadsheetml/2006/main" count="294" uniqueCount="169">
  <si>
    <t xml:space="preserve">Modulo 1 – Tavolo base: distinta e costi</t>
  </si>
  <si>
    <t xml:space="preserve">Prezzi verificati sui siti di Tecnomat, OBI e Leroy Merlin il 18/10/2026 (possono variare per negozio). Celle gialle = stime.</t>
  </si>
  <si>
    <t xml:space="preserve">Categoria</t>
  </si>
  <si>
    <t xml:space="preserve">Articolo (prodotto trovato)</t>
  </si>
  <si>
    <t xml:space="preserve">Uso</t>
  </si>
  <si>
    <t xml:space="preserve">Q.tà</t>
  </si>
  <si>
    <t xml:space="preserve">Unità</t>
  </si>
  <si>
    <t xml:space="preserve">Prezzo unitario</t>
  </si>
  <si>
    <t xml:space="preserve">Totale</t>
  </si>
  <si>
    <t xml:space="preserve">Fonte prezzo</t>
  </si>
  <si>
    <t xml:space="preserve">Negozio</t>
  </si>
  <si>
    <t xml:space="preserve">Link</t>
  </si>
  <si>
    <t xml:space="preserve">Note</t>
  </si>
  <si>
    <t xml:space="preserve">Legno</t>
  </si>
  <si>
    <t xml:space="preserve">Trave legno massiccio strutturale KVH giuntato 80×120×4000</t>
  </si>
  <si>
    <t xml:space="preserve">gambe, traverse e i 4 montanti dell'alzatina (~2,6 m di scorta)</t>
  </si>
  <si>
    <t xml:space="preserve">pz</t>
  </si>
  <si>
    <t xml:space="preserve">verificato 18/10/2026</t>
  </si>
  <si>
    <t xml:space="preserve">Tecnomat</t>
  </si>
  <si>
    <t xml:space="preserve">apri</t>
  </si>
  <si>
    <t xml:space="preserve">Solo Tecnomat; OBI e Leroy Merlin non hanno KVH</t>
  </si>
  <si>
    <t xml:space="preserve">Tavola abete lamellare 2000×800×40</t>
  </si>
  <si>
    <t xml:space="preserve">piano di lavoro (intero)</t>
  </si>
  <si>
    <t xml:space="preserve">Leroy Merlin: 147,45 € (marketplace); OBI: non c'è lo spessore 40</t>
  </si>
  <si>
    <t xml:space="preserve">OSB 3 pioppo 18 mm 2500×1250</t>
  </si>
  <si>
    <t xml:space="preserve">3 ripiani bassi + rinforzo ricarica (2 strati)</t>
  </si>
  <si>
    <t xml:space="preserve">OBI 31,49 €, Leroy Merlin 30,50 €</t>
  </si>
  <si>
    <t xml:space="preserve">Listello abete grezzo 30×40×2000</t>
  </si>
  <si>
    <t xml:space="preserve">reggiripiano: 4 × 560 + 2 × 260</t>
  </si>
  <si>
    <t xml:space="preserve">Grezzo va bene: resta nascosto sotto i ripiani</t>
  </si>
  <si>
    <t xml:space="preserve">Ferramenta telaio</t>
  </si>
  <si>
    <t xml:space="preserve">Vite a testa cilindrica zincata M10×180 (B1)</t>
  </si>
  <si>
    <t xml:space="preserve">traverse laterali</t>
  </si>
  <si>
    <t xml:space="preserve">OBI</t>
  </si>
  <si>
    <t xml:space="preserve">In negozio verifica che sia a esagono incassato (TCEI); TCEI M10×180 non trovate a scaffale altrove</t>
  </si>
  <si>
    <t xml:space="preserve">Viti a testa cilindrica M10×160, conf. 10 pz (B2)</t>
  </si>
  <si>
    <t xml:space="preserve">traverse longitudinali</t>
  </si>
  <si>
    <t xml:space="preserve">conf</t>
  </si>
  <si>
    <t xml:space="preserve">Accorciale a 140 mm con il seghetto (avvita prima un dado per ripulire il filetto)</t>
  </si>
  <si>
    <t xml:space="preserve">Dado a tamburo M10 (D)</t>
  </si>
  <si>
    <t xml:space="preserve">34 nodi + 4 predisposizione alzatina</t>
  </si>
  <si>
    <t xml:space="preserve">stima – da verificare</t>
  </si>
  <si>
    <t xml:space="preserve">ferramenta/online</t>
  </si>
  <si>
    <t xml:space="preserve">Non venduto dai tre negozi: ferramenta, Würth o online. Misura il diametro prima di forare</t>
  </si>
  <si>
    <t xml:space="preserve">Barra filettata M10×1000 zincata (R)</t>
  </si>
  <si>
    <t xml:space="preserve">4 spezzoni da 220 per le gambe centrali</t>
  </si>
  <si>
    <t xml:space="preserve">OBI 3,19 €, LM 1,75 €</t>
  </si>
  <si>
    <t xml:space="preserve">Spine in faggio zigrinato Ø12, conf. 25 pz</t>
  </si>
  <si>
    <t xml:space="preserve">2 per testata (68)</t>
  </si>
  <si>
    <t xml:space="preserve">Lunghezza non indicata: servono ~50 mm. In alternativa tondo faggio Ø12×1000 Tecnomat 0,80 € da tagliare</t>
  </si>
  <si>
    <t xml:space="preserve">Collante vinilico D3 Tover 500 ml</t>
  </si>
  <si>
    <t xml:space="preserve">spine, rinforzo, listelli</t>
  </si>
  <si>
    <t xml:space="preserve">Piede regolabile Ø40 vite M10, conf. 2 pz</t>
  </si>
  <si>
    <t xml:space="preserve">sotto le gambe</t>
  </si>
  <si>
    <t xml:space="preserve">Dado ragno M10 zincato (al posto dell'inserto a vite)</t>
  </si>
  <si>
    <t xml:space="preserve">sede filettata sotto ogni gamba</t>
  </si>
  <si>
    <t xml:space="preserve">Foro Ø12 invece di Ø14; pezzi per confezione non indicati. Inserti M10 a vite: solo marketplace LM</t>
  </si>
  <si>
    <t xml:space="preserve">Squadretta a L 30×38×30 zincata</t>
  </si>
  <si>
    <t xml:space="preserve">fissaggio del piano</t>
  </si>
  <si>
    <t xml:space="preserve">Senza asola: allunga a mano il foro verso il piano con una punta Ø6</t>
  </si>
  <si>
    <t xml:space="preserve">Viti legno assortite (5×60, 5×70, 4×35, 4×50, 4,5×25)</t>
  </si>
  <si>
    <t xml:space="preserve">rinforzo, listelli, ripiani, squadrette</t>
  </si>
  <si>
    <t xml:space="preserve">set</t>
  </si>
  <si>
    <t xml:space="preserve">Staffa angolare con nervatura 90×90×65 zincata</t>
  </si>
  <si>
    <t xml:space="preserve">fissaggio a muro (G1P e G4P)</t>
  </si>
  <si>
    <t xml:space="preserve">Tasselli Ø8 per il tipo di muro</t>
  </si>
  <si>
    <t xml:space="preserve">fissaggio a muro</t>
  </si>
  <si>
    <t xml:space="preserve">Zona ricarica</t>
  </si>
  <si>
    <t xml:space="preserve">Piastre acciaio tagliate e forate (base 180×180×12, contropiastra 220×220×6, 3 piastre attrezzo)</t>
  </si>
  <si>
    <t xml:space="preserve">attacco presse e morsa</t>
  </si>
  <si>
    <t xml:space="preserve">lotto</t>
  </si>
  <si>
    <t xml:space="preserve">officina/carpenteria</t>
  </si>
  <si>
    <t xml:space="preserve">Chiedi un preventivo a un'officina o a un servizio di taglio laser</t>
  </si>
  <si>
    <t xml:space="preserve">Vite TSPEI M10×110 + dado autobloccante</t>
  </si>
  <si>
    <t xml:space="preserve">base, 2 posteriori</t>
  </si>
  <si>
    <t xml:space="preserve">Non trovate a scaffale</t>
  </si>
  <si>
    <t xml:space="preserve">Vite TSPEI M10×200 + dado autobloccante</t>
  </si>
  <si>
    <t xml:space="preserve">base, 2 anteriori</t>
  </si>
  <si>
    <t xml:space="preserve">Dadi autobloccanti M10 inox, conf. 10 pz</t>
  </si>
  <si>
    <t xml:space="preserve">sotto la base</t>
  </si>
  <si>
    <t xml:space="preserve">Rondelle piane larghe M10 (Ø29,5), conf. 8 pz</t>
  </si>
  <si>
    <t xml:space="preserve">sotto la traversa e la contropiastra</t>
  </si>
  <si>
    <t xml:space="preserve">Leroy Merlin</t>
  </si>
  <si>
    <t xml:space="preserve">Manopole a stella M12 + 2 spine Ø10 h8</t>
  </si>
  <si>
    <t xml:space="preserve">bloccaggio piastre</t>
  </si>
  <si>
    <t xml:space="preserve">kit</t>
  </si>
  <si>
    <t xml:space="preserve">Elettrico</t>
  </si>
  <si>
    <t xml:space="preserve">Canalina di distribuzione Arnocanali 60×40, 2 scomparti</t>
  </si>
  <si>
    <t xml:space="preserve">una per campata (da tagliare)</t>
  </si>
  <si>
    <t xml:space="preserve">Lunghezza non indicata: verifica. Alternativa specifica sottoscrivania: LM 76 cm 36,95 € (online)</t>
  </si>
  <si>
    <t xml:space="preserve">Bocchette passacavi Ø60 PVC nero, conf. 2 pz</t>
  </si>
  <si>
    <t xml:space="preserve">piano</t>
  </si>
  <si>
    <t xml:space="preserve">Ciabatta 6 prese con interruttore</t>
  </si>
  <si>
    <t xml:space="preserve">campata seduta</t>
  </si>
  <si>
    <t xml:space="preserve">Finitura</t>
  </si>
  <si>
    <t xml:space="preserve">Olio Adler facile applicazione interno 750 ml</t>
  </si>
  <si>
    <t xml:space="preserve">piano di lavoro</t>
  </si>
  <si>
    <t xml:space="preserve">Impregnante legno all'acqua Cipir 0,75 l incolore</t>
  </si>
  <si>
    <t xml:space="preserve">telaio e ripiani OSB</t>
  </si>
  <si>
    <t xml:space="preserve">Abrasivi 80–120–180</t>
  </si>
  <si>
    <t xml:space="preserve">levigatura</t>
  </si>
  <si>
    <t xml:space="preserve">Prezzi verificati</t>
  </si>
  <si>
    <t xml:space="preserve">Stime</t>
  </si>
  <si>
    <t xml:space="preserve">TOTALE</t>
  </si>
  <si>
    <t xml:space="preserve">di cui legno</t>
  </si>
  <si>
    <t xml:space="preserve">di cui ferramenta telaio</t>
  </si>
  <si>
    <t xml:space="preserve">di cui zona ricarica</t>
  </si>
  <si>
    <t xml:space="preserve">di cui elettrico</t>
  </si>
  <si>
    <t xml:space="preserve">di cui finitura</t>
  </si>
  <si>
    <t xml:space="preserve">da Leroy Merlin</t>
  </si>
  <si>
    <t xml:space="preserve">da OBI</t>
  </si>
  <si>
    <t xml:space="preserve">da Tecnomat</t>
  </si>
  <si>
    <t xml:space="preserve">da ferramenta/online</t>
  </si>
  <si>
    <t xml:space="preserve">da officina/carpenteria</t>
  </si>
  <si>
    <t xml:space="preserve">Tecnomat: taglio legno in negozio, 1° taglio gratis poi 1 € a taglio (solo per pannelli e listelli comprati lì).</t>
  </si>
  <si>
    <t xml:space="preserve">I prezzi Tecnomat sono del negozio predefinito del sito (Roma Prenestina): controlla quello dove andrai.</t>
  </si>
  <si>
    <t xml:space="preserve">I 4 dadi a tamburo della predisposizione alzatina vanno inseriti durante il montaggio del tavolo.</t>
  </si>
  <si>
    <t xml:space="preserve">Confronto travi per il telaio</t>
  </si>
  <si>
    <t xml:space="preserve">Trave</t>
  </si>
  <si>
    <t xml:space="preserve">Sezione</t>
  </si>
  <si>
    <t xml:space="preserve">Lungh. barra (m)</t>
  </si>
  <si>
    <t xml:space="preserve">Prezzo barra</t>
  </si>
  <si>
    <t xml:space="preserve">Prezzo al metro</t>
  </si>
  <si>
    <t xml:space="preserve">Metri necessari</t>
  </si>
  <si>
    <t xml:space="preserve">Rigidezza gamba (8×8=1)</t>
  </si>
  <si>
    <t xml:space="preserve">Barre necessarie</t>
  </si>
  <si>
    <t xml:space="preserve">Costo telaio</t>
  </si>
  <si>
    <t xml:space="preserve">Trave abete 120×120 – 6 m</t>
  </si>
  <si>
    <t xml:space="preserve">120×120</t>
  </si>
  <si>
    <t xml:space="preserve">Trave abete 120×120 – 4 m</t>
  </si>
  <si>
    <t xml:space="preserve">Trave abete 90×90 – 4 m</t>
  </si>
  <si>
    <t xml:space="preserve">90×90</t>
  </si>
  <si>
    <t xml:space="preserve">KVH giuntato 80×120 – 4 m</t>
  </si>
  <si>
    <t xml:space="preserve">80×120</t>
  </si>
  <si>
    <t xml:space="preserve">KVH giuntato 100×120 – 4 m</t>
  </si>
  <si>
    <t xml:space="preserve">100×120</t>
  </si>
  <si>
    <t xml:space="preserve">Riga verde = trave scelta (Tecnomat). Lamellare GL24h 80×120×4000 Tecnomat 39,90 €; Leroy Merlin 74,90–79,90 €; OBI non ha travi 80×120.</t>
  </si>
  <si>
    <t xml:space="preserve">Ripiani bassi e rinforzo ricarica: materiali a confronto</t>
  </si>
  <si>
    <t xml:space="preserve">Materiale</t>
  </si>
  <si>
    <t xml:space="preserve">Formato</t>
  </si>
  <si>
    <t xml:space="preserve">Pezzi</t>
  </si>
  <si>
    <t xml:space="preserve">Prezzo</t>
  </si>
  <si>
    <t xml:space="preserve">Costo</t>
  </si>
  <si>
    <t xml:space="preserve">OSB/3 18 (SCELTO)</t>
  </si>
  <si>
    <t xml:space="preserve">2500×1250</t>
  </si>
  <si>
    <t xml:space="preserve">Un pannello per 3 ripiani + rinforzo in 2 strati; avanzano ~1,8 m²</t>
  </si>
  <si>
    <t xml:space="preserve">OSB/3 18</t>
  </si>
  <si>
    <t xml:space="preserve">Lamellare abete 40</t>
  </si>
  <si>
    <t xml:space="preserve">2000×800</t>
  </si>
  <si>
    <t xml:space="preserve">Ripiani più spessi e belli, 2,9 volte l'OSB</t>
  </si>
  <si>
    <t xml:space="preserve">Tavola lamellare 14</t>
  </si>
  <si>
    <t xml:space="preserve">800×200</t>
  </si>
  <si>
    <t xml:space="preserve">8 per i ripiani + 6 per il rinforzo: la più cara</t>
  </si>
  <si>
    <t xml:space="preserve">Taglio travi KVH 80×120 (barre da 4 m)</t>
  </si>
  <si>
    <t xml:space="preserve">Barra</t>
  </si>
  <si>
    <t xml:space="preserve">Tagli (mm)</t>
  </si>
  <si>
    <t xml:space="preserve">Usato (mm)</t>
  </si>
  <si>
    <t xml:space="preserve">Avanzo (mm)</t>
  </si>
  <si>
    <t xml:space="preserve">Barra 1</t>
  </si>
  <si>
    <t xml:space="preserve">700 + 700 + 700 + 560 + 500 + 500</t>
  </si>
  <si>
    <t xml:space="preserve">Barra 2</t>
  </si>
  <si>
    <t xml:space="preserve">700 + 700 + 560 + 560 + 560 + 500</t>
  </si>
  <si>
    <t xml:space="preserve">Barra 3</t>
  </si>
  <si>
    <t xml:space="preserve">700 + 700 + 700 + 560 + 480 + 480</t>
  </si>
  <si>
    <t xml:space="preserve">Barra 4</t>
  </si>
  <si>
    <t xml:space="preserve">700 + 700</t>
  </si>
  <si>
    <t xml:space="preserve">Barra 5</t>
  </si>
  <si>
    <t xml:space="preserve">560 + 560 + 560 + 480 + 480 + 250 + 250 + 250 + 250</t>
  </si>
  <si>
    <t xml:space="preserve">I 4 pezzi da 250 sono i montanti dell'alzatina: tagliali e conservali. Tecnomat taglia in negozio (1 € a taglio dopo il primo).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</si>
</sst>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#,##0.00&quot; €&quot;;\-#,##0.00&quot; €&quot;;\-"/>
    <numFmt numFmtId="167" formatCode="0.0"/>
    <numFmt numFmtId="168" formatCode="#,##0.00&quot; €/m&quot;"/>
    <numFmt numFmtId="169" formatCode="0.00"/>
    <numFmt numFmtId="170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u val="single"/>
      <sz val="11"/>
      <color rgb="FF1F5FA8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E9DFCC"/>
        <bgColor rgb="FFDCEBD6"/>
      </patternFill>
    </fill>
    <fill>
      <patternFill patternType="solid">
        <fgColor rgb="FFFFF2A8"/>
        <bgColor rgb="FFFFFFCC"/>
      </patternFill>
    </fill>
    <fill>
      <patternFill patternType="solid">
        <fgColor rgb="FFDCEBD6"/>
        <bgColor rgb="FFE9D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1F5FA8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CEBD6"/>
      <rgbColor rgb="FFFFF2A8"/>
      <rgbColor rgb="FF99CCFF"/>
      <rgbColor rgb="FFFF99CC"/>
      <rgbColor rgb="FFCC99FF"/>
      <rgbColor rgb="FFE9DF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tecnomat.it/it/trave-kvh-80x120x400-cm-25102417/" TargetMode="External"/><Relationship Id="rId2" Type="http://schemas.openxmlformats.org/officeDocument/2006/relationships/hyperlink" Target="https://www.tecnomat.it/it/tavola-abete-lam-200x80-cm-spess-40-25035058/" TargetMode="External"/><Relationship Id="rId3" Type="http://schemas.openxmlformats.org/officeDocument/2006/relationships/hyperlink" Target="https://www.tecnomat.it/it/osb-3-pioppo-spess-18-mm-dim-250x125-cm-10043418/" TargetMode="External"/><Relationship Id="rId4" Type="http://schemas.openxmlformats.org/officeDocument/2006/relationships/hyperlink" Target="https://www.tecnomat.it/it/listello-abete-grezzo-2-m-30x40-mm-25039932/" TargetMode="External"/><Relationship Id="rId5" Type="http://schemas.openxmlformats.org/officeDocument/2006/relationships/hyperlink" Target="https://www.obi-italia.it/p/6282354" TargetMode="External"/><Relationship Id="rId6" Type="http://schemas.openxmlformats.org/officeDocument/2006/relationships/hyperlink" Target="https://www.obi-italia.it/p/6253421" TargetMode="External"/><Relationship Id="rId7" Type="http://schemas.openxmlformats.org/officeDocument/2006/relationships/hyperlink" Target="https://www.tecnomat.it/it/barra-filettata-zinc-m10x1m-10066674/" TargetMode="External"/><Relationship Id="rId8" Type="http://schemas.openxmlformats.org/officeDocument/2006/relationships/hyperlink" Target="https://www.obi-italia.it/p/4884714" TargetMode="External"/><Relationship Id="rId9" Type="http://schemas.openxmlformats.org/officeDocument/2006/relationships/hyperlink" Target="https://www.tecnomat.it/it/colla-pavimenti-flottanti-tover-500-ml-10036806/" TargetMode="External"/><Relationship Id="rId10" Type="http://schemas.openxmlformats.org/officeDocument/2006/relationships/hyperlink" Target="https://www.tecnomat.it/it/piede-tondo-nero-o40-2-pz-10038522/" TargetMode="External"/><Relationship Id="rId11" Type="http://schemas.openxmlformats.org/officeDocument/2006/relationships/hyperlink" Target="https://www.obi-italia.it/p/4611364" TargetMode="External"/><Relationship Id="rId12" Type="http://schemas.openxmlformats.org/officeDocument/2006/relationships/hyperlink" Target="https://www.tecnomat.it/it/squadretta-a-l-30x38x30-per-vite-10027452/" TargetMode="External"/><Relationship Id="rId13" Type="http://schemas.openxmlformats.org/officeDocument/2006/relationships/hyperlink" Target="https://www.obi-italia.it/p/3786233" TargetMode="External"/><Relationship Id="rId14" Type="http://schemas.openxmlformats.org/officeDocument/2006/relationships/hyperlink" Target="https://www.tecnomat.it/it/dadi-aut-bassi-m10-inox-316-10pz-10055310/" TargetMode="External"/><Relationship Id="rId15" Type="http://schemas.openxmlformats.org/officeDocument/2006/relationships/hyperlink" Target="https://www.leroymerlin.it/prodotti/8-rondelle-piane-larghe-in-acciaio-zincato-standers-int-10-est-29-48-mm-82583073.html" TargetMode="External"/><Relationship Id="rId16" Type="http://schemas.openxmlformats.org/officeDocument/2006/relationships/hyperlink" Target="https://www.tecnomat.it/it/canalina-ufficio-60x40-mm-2-scomparti-10052978/" TargetMode="External"/><Relationship Id="rId17" Type="http://schemas.openxmlformats.org/officeDocument/2006/relationships/hyperlink" Target="https://www.tecnomat.it/it/bocchette-passacavi-in-pvc-nero-o60-2pz-25019432/" TargetMode="External"/><Relationship Id="rId18" Type="http://schemas.openxmlformats.org/officeDocument/2006/relationships/hyperlink" Target="https://www.tecnomat.it/it/olio-facile-appl-int-legno-adler-750-ml-10070802/" TargetMode="External"/><Relationship Id="rId19" Type="http://schemas.openxmlformats.org/officeDocument/2006/relationships/hyperlink" Target="https://www.tecnomat.it/it/impregnante-acqua-cipir-incolore-0-75-l-10006177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46"/>
    <col collapsed="false" customWidth="true" hidden="false" outlineLevel="0" max="3" min="3" style="0" width="34"/>
    <col collapsed="false" customWidth="true" hidden="false" outlineLevel="0" max="5" min="4" style="0" width="7"/>
    <col collapsed="false" customWidth="true" hidden="false" outlineLevel="0" max="6" min="6" style="0" width="13"/>
    <col collapsed="false" customWidth="true" hidden="false" outlineLevel="0" max="7" min="7" style="0" width="12"/>
    <col collapsed="false" customWidth="true" hidden="false" outlineLevel="0" max="8" min="8" style="0" width="20"/>
    <col collapsed="false" customWidth="true" hidden="false" outlineLevel="0" max="9" min="9" style="0" width="18"/>
    <col collapsed="false" customWidth="true" hidden="false" outlineLevel="0" max="10" min="10" style="0" width="7"/>
    <col collapsed="false" customWidth="true" hidden="false" outlineLevel="0" max="11" min="11" style="0" width="4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31.5" hidden="false" customHeight="true" outlineLevel="0" collapsed="false">
      <c r="A5" s="4" t="s">
        <v>13</v>
      </c>
      <c r="B5" s="5" t="s">
        <v>14</v>
      </c>
      <c r="C5" s="5" t="s">
        <v>15</v>
      </c>
      <c r="D5" s="6" t="n">
        <f aca="false">'Confronto travi'!I8</f>
        <v>5</v>
      </c>
      <c r="E5" s="4" t="s">
        <v>16</v>
      </c>
      <c r="F5" s="7" t="n">
        <f aca="false">'Confronto travi'!D8</f>
        <v>29.9</v>
      </c>
      <c r="G5" s="8" t="n">
        <f aca="false">D5*F5</f>
        <v>149.5</v>
      </c>
      <c r="H5" s="5" t="s">
        <v>17</v>
      </c>
      <c r="I5" s="5" t="s">
        <v>18</v>
      </c>
      <c r="J5" s="9" t="s">
        <v>19</v>
      </c>
      <c r="K5" s="5" t="s">
        <v>20</v>
      </c>
    </row>
    <row r="6" customFormat="false" ht="31.5" hidden="false" customHeight="true" outlineLevel="0" collapsed="false">
      <c r="A6" s="4" t="s">
        <v>13</v>
      </c>
      <c r="B6" s="5" t="s">
        <v>21</v>
      </c>
      <c r="C6" s="5" t="s">
        <v>22</v>
      </c>
      <c r="D6" s="10" t="n">
        <v>1</v>
      </c>
      <c r="E6" s="4" t="s">
        <v>16</v>
      </c>
      <c r="F6" s="11" t="n">
        <v>79</v>
      </c>
      <c r="G6" s="8" t="n">
        <f aca="false">D6*F6</f>
        <v>79</v>
      </c>
      <c r="H6" s="5" t="s">
        <v>17</v>
      </c>
      <c r="I6" s="5" t="s">
        <v>18</v>
      </c>
      <c r="J6" s="9" t="s">
        <v>19</v>
      </c>
      <c r="K6" s="5" t="s">
        <v>23</v>
      </c>
    </row>
    <row r="7" customFormat="false" ht="31.5" hidden="false" customHeight="true" outlineLevel="0" collapsed="false">
      <c r="A7" s="4" t="s">
        <v>13</v>
      </c>
      <c r="B7" s="5" t="s">
        <v>24</v>
      </c>
      <c r="C7" s="5" t="s">
        <v>25</v>
      </c>
      <c r="D7" s="10" t="n">
        <v>1</v>
      </c>
      <c r="E7" s="4" t="s">
        <v>16</v>
      </c>
      <c r="F7" s="11" t="n">
        <v>27.5</v>
      </c>
      <c r="G7" s="8" t="n">
        <f aca="false">D7*F7</f>
        <v>27.5</v>
      </c>
      <c r="H7" s="5" t="s">
        <v>17</v>
      </c>
      <c r="I7" s="5" t="s">
        <v>18</v>
      </c>
      <c r="J7" s="9" t="s">
        <v>19</v>
      </c>
      <c r="K7" s="5" t="s">
        <v>26</v>
      </c>
    </row>
    <row r="8" customFormat="false" ht="31.5" hidden="false" customHeight="true" outlineLevel="0" collapsed="false">
      <c r="A8" s="4" t="s">
        <v>13</v>
      </c>
      <c r="B8" s="5" t="s">
        <v>27</v>
      </c>
      <c r="C8" s="5" t="s">
        <v>28</v>
      </c>
      <c r="D8" s="10" t="n">
        <v>2</v>
      </c>
      <c r="E8" s="4" t="s">
        <v>16</v>
      </c>
      <c r="F8" s="11" t="n">
        <v>3.1</v>
      </c>
      <c r="G8" s="8" t="n">
        <f aca="false">D8*F8</f>
        <v>6.2</v>
      </c>
      <c r="H8" s="5" t="s">
        <v>17</v>
      </c>
      <c r="I8" s="5" t="s">
        <v>18</v>
      </c>
      <c r="J8" s="9" t="s">
        <v>19</v>
      </c>
      <c r="K8" s="5" t="s">
        <v>29</v>
      </c>
    </row>
    <row r="9" customFormat="false" ht="31.5" hidden="false" customHeight="true" outlineLevel="0" collapsed="false">
      <c r="A9" s="4" t="s">
        <v>30</v>
      </c>
      <c r="B9" s="5" t="s">
        <v>31</v>
      </c>
      <c r="C9" s="5" t="s">
        <v>32</v>
      </c>
      <c r="D9" s="10" t="n">
        <v>16</v>
      </c>
      <c r="E9" s="4" t="s">
        <v>16</v>
      </c>
      <c r="F9" s="11" t="n">
        <v>1.39</v>
      </c>
      <c r="G9" s="8" t="n">
        <f aca="false">D9*F9</f>
        <v>22.24</v>
      </c>
      <c r="H9" s="5" t="s">
        <v>17</v>
      </c>
      <c r="I9" s="5" t="s">
        <v>33</v>
      </c>
      <c r="J9" s="9" t="s">
        <v>19</v>
      </c>
      <c r="K9" s="5" t="s">
        <v>34</v>
      </c>
    </row>
    <row r="10" customFormat="false" ht="31.5" hidden="false" customHeight="true" outlineLevel="0" collapsed="false">
      <c r="A10" s="4" t="s">
        <v>30</v>
      </c>
      <c r="B10" s="5" t="s">
        <v>35</v>
      </c>
      <c r="C10" s="5" t="s">
        <v>36</v>
      </c>
      <c r="D10" s="10" t="n">
        <v>1</v>
      </c>
      <c r="E10" s="4" t="s">
        <v>37</v>
      </c>
      <c r="F10" s="11" t="n">
        <v>13.09</v>
      </c>
      <c r="G10" s="8" t="n">
        <f aca="false">D10*F10</f>
        <v>13.09</v>
      </c>
      <c r="H10" s="5" t="s">
        <v>17</v>
      </c>
      <c r="I10" s="5" t="s">
        <v>33</v>
      </c>
      <c r="J10" s="9" t="s">
        <v>19</v>
      </c>
      <c r="K10" s="5" t="s">
        <v>38</v>
      </c>
    </row>
    <row r="11" customFormat="false" ht="31.5" hidden="false" customHeight="true" outlineLevel="0" collapsed="false">
      <c r="A11" s="4" t="s">
        <v>30</v>
      </c>
      <c r="B11" s="5" t="s">
        <v>39</v>
      </c>
      <c r="C11" s="5" t="s">
        <v>40</v>
      </c>
      <c r="D11" s="10" t="n">
        <v>38</v>
      </c>
      <c r="E11" s="4" t="s">
        <v>16</v>
      </c>
      <c r="F11" s="12" t="n">
        <v>0.8</v>
      </c>
      <c r="G11" s="8" t="n">
        <f aca="false">D11*F11</f>
        <v>30.4</v>
      </c>
      <c r="H11" s="5" t="s">
        <v>41</v>
      </c>
      <c r="I11" s="5" t="s">
        <v>42</v>
      </c>
      <c r="J11" s="4"/>
      <c r="K11" s="5" t="s">
        <v>43</v>
      </c>
    </row>
    <row r="12" customFormat="false" ht="31.5" hidden="false" customHeight="true" outlineLevel="0" collapsed="false">
      <c r="A12" s="4" t="s">
        <v>30</v>
      </c>
      <c r="B12" s="5" t="s">
        <v>44</v>
      </c>
      <c r="C12" s="5" t="s">
        <v>45</v>
      </c>
      <c r="D12" s="10" t="n">
        <v>1</v>
      </c>
      <c r="E12" s="4" t="s">
        <v>16</v>
      </c>
      <c r="F12" s="11" t="n">
        <v>1.65</v>
      </c>
      <c r="G12" s="8" t="n">
        <f aca="false">D12*F12</f>
        <v>1.65</v>
      </c>
      <c r="H12" s="5" t="s">
        <v>17</v>
      </c>
      <c r="I12" s="5" t="s">
        <v>18</v>
      </c>
      <c r="J12" s="9" t="s">
        <v>19</v>
      </c>
      <c r="K12" s="5" t="s">
        <v>46</v>
      </c>
    </row>
    <row r="13" customFormat="false" ht="31.5" hidden="false" customHeight="true" outlineLevel="0" collapsed="false">
      <c r="A13" s="4" t="s">
        <v>30</v>
      </c>
      <c r="B13" s="5" t="s">
        <v>47</v>
      </c>
      <c r="C13" s="5" t="s">
        <v>48</v>
      </c>
      <c r="D13" s="10" t="n">
        <v>3</v>
      </c>
      <c r="E13" s="4" t="s">
        <v>37</v>
      </c>
      <c r="F13" s="11" t="n">
        <v>3.69</v>
      </c>
      <c r="G13" s="8" t="n">
        <f aca="false">D13*F13</f>
        <v>11.07</v>
      </c>
      <c r="H13" s="5" t="s">
        <v>17</v>
      </c>
      <c r="I13" s="5" t="s">
        <v>33</v>
      </c>
      <c r="J13" s="9" t="s">
        <v>19</v>
      </c>
      <c r="K13" s="5" t="s">
        <v>49</v>
      </c>
    </row>
    <row r="14" customFormat="false" ht="31.5" hidden="false" customHeight="true" outlineLevel="0" collapsed="false">
      <c r="A14" s="4" t="s">
        <v>30</v>
      </c>
      <c r="B14" s="5" t="s">
        <v>50</v>
      </c>
      <c r="C14" s="5" t="s">
        <v>51</v>
      </c>
      <c r="D14" s="10" t="n">
        <v>1</v>
      </c>
      <c r="E14" s="4" t="s">
        <v>16</v>
      </c>
      <c r="F14" s="11" t="n">
        <v>4.95</v>
      </c>
      <c r="G14" s="8" t="n">
        <f aca="false">D14*F14</f>
        <v>4.95</v>
      </c>
      <c r="H14" s="5" t="s">
        <v>17</v>
      </c>
      <c r="I14" s="5" t="s">
        <v>18</v>
      </c>
      <c r="J14" s="9" t="s">
        <v>19</v>
      </c>
      <c r="K14" s="5"/>
    </row>
    <row r="15" customFormat="false" ht="31.5" hidden="false" customHeight="true" outlineLevel="0" collapsed="false">
      <c r="A15" s="4" t="s">
        <v>30</v>
      </c>
      <c r="B15" s="5" t="s">
        <v>52</v>
      </c>
      <c r="C15" s="5" t="s">
        <v>53</v>
      </c>
      <c r="D15" s="10" t="n">
        <v>4</v>
      </c>
      <c r="E15" s="4" t="s">
        <v>37</v>
      </c>
      <c r="F15" s="11" t="n">
        <v>1.65</v>
      </c>
      <c r="G15" s="8" t="n">
        <f aca="false">D15*F15</f>
        <v>6.6</v>
      </c>
      <c r="H15" s="5" t="s">
        <v>17</v>
      </c>
      <c r="I15" s="5" t="s">
        <v>18</v>
      </c>
      <c r="J15" s="9" t="s">
        <v>19</v>
      </c>
      <c r="K15" s="5"/>
    </row>
    <row r="16" customFormat="false" ht="31.5" hidden="false" customHeight="true" outlineLevel="0" collapsed="false">
      <c r="A16" s="4" t="s">
        <v>30</v>
      </c>
      <c r="B16" s="5" t="s">
        <v>54</v>
      </c>
      <c r="C16" s="5" t="s">
        <v>55</v>
      </c>
      <c r="D16" s="10" t="n">
        <v>8</v>
      </c>
      <c r="E16" s="4" t="s">
        <v>16</v>
      </c>
      <c r="F16" s="11" t="n">
        <v>2.79</v>
      </c>
      <c r="G16" s="8" t="n">
        <f aca="false">D16*F16</f>
        <v>22.32</v>
      </c>
      <c r="H16" s="5" t="s">
        <v>17</v>
      </c>
      <c r="I16" s="5" t="s">
        <v>33</v>
      </c>
      <c r="J16" s="9" t="s">
        <v>19</v>
      </c>
      <c r="K16" s="5" t="s">
        <v>56</v>
      </c>
    </row>
    <row r="17" customFormat="false" ht="31.5" hidden="false" customHeight="true" outlineLevel="0" collapsed="false">
      <c r="A17" s="4" t="s">
        <v>30</v>
      </c>
      <c r="B17" s="5" t="s">
        <v>57</v>
      </c>
      <c r="C17" s="5" t="s">
        <v>58</v>
      </c>
      <c r="D17" s="10" t="n">
        <v>16</v>
      </c>
      <c r="E17" s="4" t="s">
        <v>16</v>
      </c>
      <c r="F17" s="11" t="n">
        <v>0.5</v>
      </c>
      <c r="G17" s="8" t="n">
        <f aca="false">D17*F17</f>
        <v>8</v>
      </c>
      <c r="H17" s="5" t="s">
        <v>17</v>
      </c>
      <c r="I17" s="5" t="s">
        <v>18</v>
      </c>
      <c r="J17" s="9" t="s">
        <v>19</v>
      </c>
      <c r="K17" s="5" t="s">
        <v>59</v>
      </c>
    </row>
    <row r="18" customFormat="false" ht="31.5" hidden="false" customHeight="true" outlineLevel="0" collapsed="false">
      <c r="A18" s="4" t="s">
        <v>30</v>
      </c>
      <c r="B18" s="5" t="s">
        <v>60</v>
      </c>
      <c r="C18" s="5" t="s">
        <v>61</v>
      </c>
      <c r="D18" s="10" t="n">
        <v>1</v>
      </c>
      <c r="E18" s="4" t="s">
        <v>62</v>
      </c>
      <c r="F18" s="12" t="n">
        <v>15</v>
      </c>
      <c r="G18" s="8" t="n">
        <f aca="false">D18*F18</f>
        <v>15</v>
      </c>
      <c r="H18" s="5" t="s">
        <v>41</v>
      </c>
      <c r="I18" s="5" t="s">
        <v>18</v>
      </c>
      <c r="J18" s="4"/>
      <c r="K18" s="5"/>
    </row>
    <row r="19" customFormat="false" ht="31.5" hidden="false" customHeight="true" outlineLevel="0" collapsed="false">
      <c r="A19" s="4" t="s">
        <v>30</v>
      </c>
      <c r="B19" s="5" t="s">
        <v>63</v>
      </c>
      <c r="C19" s="5" t="s">
        <v>64</v>
      </c>
      <c r="D19" s="10" t="n">
        <v>4</v>
      </c>
      <c r="E19" s="4" t="s">
        <v>16</v>
      </c>
      <c r="F19" s="11" t="n">
        <v>2.89</v>
      </c>
      <c r="G19" s="8" t="n">
        <f aca="false">D19*F19</f>
        <v>11.56</v>
      </c>
      <c r="H19" s="5" t="s">
        <v>17</v>
      </c>
      <c r="I19" s="5" t="s">
        <v>33</v>
      </c>
      <c r="J19" s="9" t="s">
        <v>19</v>
      </c>
      <c r="K19" s="5"/>
    </row>
    <row r="20" customFormat="false" ht="31.5" hidden="false" customHeight="true" outlineLevel="0" collapsed="false">
      <c r="A20" s="4" t="s">
        <v>30</v>
      </c>
      <c r="B20" s="5" t="s">
        <v>65</v>
      </c>
      <c r="C20" s="5" t="s">
        <v>66</v>
      </c>
      <c r="D20" s="10" t="n">
        <v>1</v>
      </c>
      <c r="E20" s="4" t="s">
        <v>37</v>
      </c>
      <c r="F20" s="12" t="n">
        <v>3</v>
      </c>
      <c r="G20" s="8" t="n">
        <f aca="false">D20*F20</f>
        <v>3</v>
      </c>
      <c r="H20" s="5" t="s">
        <v>41</v>
      </c>
      <c r="I20" s="5" t="s">
        <v>18</v>
      </c>
      <c r="J20" s="4"/>
      <c r="K20" s="5"/>
    </row>
    <row r="21" customFormat="false" ht="31.5" hidden="false" customHeight="true" outlineLevel="0" collapsed="false">
      <c r="A21" s="4" t="s">
        <v>67</v>
      </c>
      <c r="B21" s="5" t="s">
        <v>68</v>
      </c>
      <c r="C21" s="5" t="s">
        <v>69</v>
      </c>
      <c r="D21" s="10" t="n">
        <v>1</v>
      </c>
      <c r="E21" s="4" t="s">
        <v>70</v>
      </c>
      <c r="F21" s="12" t="n">
        <v>90</v>
      </c>
      <c r="G21" s="8" t="n">
        <f aca="false">D21*F21</f>
        <v>90</v>
      </c>
      <c r="H21" s="5" t="s">
        <v>41</v>
      </c>
      <c r="I21" s="5" t="s">
        <v>71</v>
      </c>
      <c r="J21" s="4"/>
      <c r="K21" s="5" t="s">
        <v>72</v>
      </c>
    </row>
    <row r="22" customFormat="false" ht="31.5" hidden="false" customHeight="true" outlineLevel="0" collapsed="false">
      <c r="A22" s="4" t="s">
        <v>67</v>
      </c>
      <c r="B22" s="5" t="s">
        <v>73</v>
      </c>
      <c r="C22" s="5" t="s">
        <v>74</v>
      </c>
      <c r="D22" s="10" t="n">
        <v>2</v>
      </c>
      <c r="E22" s="4" t="s">
        <v>16</v>
      </c>
      <c r="F22" s="12" t="n">
        <v>1.5</v>
      </c>
      <c r="G22" s="8" t="n">
        <f aca="false">D22*F22</f>
        <v>3</v>
      </c>
      <c r="H22" s="5" t="s">
        <v>41</v>
      </c>
      <c r="I22" s="5" t="s">
        <v>42</v>
      </c>
      <c r="J22" s="4"/>
      <c r="K22" s="5" t="s">
        <v>75</v>
      </c>
    </row>
    <row r="23" customFormat="false" ht="31.5" hidden="false" customHeight="true" outlineLevel="0" collapsed="false">
      <c r="A23" s="4" t="s">
        <v>67</v>
      </c>
      <c r="B23" s="5" t="s">
        <v>76</v>
      </c>
      <c r="C23" s="5" t="s">
        <v>77</v>
      </c>
      <c r="D23" s="10" t="n">
        <v>2</v>
      </c>
      <c r="E23" s="4" t="s">
        <v>16</v>
      </c>
      <c r="F23" s="12" t="n">
        <v>2</v>
      </c>
      <c r="G23" s="8" t="n">
        <f aca="false">D23*F23</f>
        <v>4</v>
      </c>
      <c r="H23" s="5" t="s">
        <v>41</v>
      </c>
      <c r="I23" s="5" t="s">
        <v>42</v>
      </c>
      <c r="J23" s="4"/>
      <c r="K23" s="5" t="s">
        <v>75</v>
      </c>
    </row>
    <row r="24" customFormat="false" ht="31.5" hidden="false" customHeight="true" outlineLevel="0" collapsed="false">
      <c r="A24" s="4" t="s">
        <v>67</v>
      </c>
      <c r="B24" s="5" t="s">
        <v>78</v>
      </c>
      <c r="C24" s="5" t="s">
        <v>79</v>
      </c>
      <c r="D24" s="10" t="n">
        <v>1</v>
      </c>
      <c r="E24" s="4" t="s">
        <v>37</v>
      </c>
      <c r="F24" s="11" t="n">
        <v>2.4</v>
      </c>
      <c r="G24" s="8" t="n">
        <f aca="false">D24*F24</f>
        <v>2.4</v>
      </c>
      <c r="H24" s="5" t="s">
        <v>17</v>
      </c>
      <c r="I24" s="5" t="s">
        <v>18</v>
      </c>
      <c r="J24" s="9" t="s">
        <v>19</v>
      </c>
      <c r="K24" s="5"/>
    </row>
    <row r="25" customFormat="false" ht="31.5" hidden="false" customHeight="true" outlineLevel="0" collapsed="false">
      <c r="A25" s="4" t="s">
        <v>67</v>
      </c>
      <c r="B25" s="5" t="s">
        <v>80</v>
      </c>
      <c r="C25" s="5" t="s">
        <v>81</v>
      </c>
      <c r="D25" s="10" t="n">
        <v>1</v>
      </c>
      <c r="E25" s="4" t="s">
        <v>37</v>
      </c>
      <c r="F25" s="11" t="n">
        <v>2.5</v>
      </c>
      <c r="G25" s="8" t="n">
        <f aca="false">D25*F25</f>
        <v>2.5</v>
      </c>
      <c r="H25" s="5" t="s">
        <v>17</v>
      </c>
      <c r="I25" s="5" t="s">
        <v>82</v>
      </c>
      <c r="J25" s="9" t="s">
        <v>19</v>
      </c>
      <c r="K25" s="5"/>
    </row>
    <row r="26" customFormat="false" ht="31.5" hidden="false" customHeight="true" outlineLevel="0" collapsed="false">
      <c r="A26" s="4" t="s">
        <v>67</v>
      </c>
      <c r="B26" s="5" t="s">
        <v>83</v>
      </c>
      <c r="C26" s="5" t="s">
        <v>84</v>
      </c>
      <c r="D26" s="10" t="n">
        <v>1</v>
      </c>
      <c r="E26" s="4" t="s">
        <v>85</v>
      </c>
      <c r="F26" s="12" t="n">
        <v>10</v>
      </c>
      <c r="G26" s="8" t="n">
        <f aca="false">D26*F26</f>
        <v>10</v>
      </c>
      <c r="H26" s="5" t="s">
        <v>41</v>
      </c>
      <c r="I26" s="5" t="s">
        <v>42</v>
      </c>
      <c r="J26" s="4"/>
      <c r="K26" s="5"/>
    </row>
    <row r="27" customFormat="false" ht="31.5" hidden="false" customHeight="true" outlineLevel="0" collapsed="false">
      <c r="A27" s="4" t="s">
        <v>86</v>
      </c>
      <c r="B27" s="5" t="s">
        <v>87</v>
      </c>
      <c r="C27" s="5" t="s">
        <v>88</v>
      </c>
      <c r="D27" s="10" t="n">
        <v>3</v>
      </c>
      <c r="E27" s="4" t="s">
        <v>16</v>
      </c>
      <c r="F27" s="11" t="n">
        <v>8.55</v>
      </c>
      <c r="G27" s="8" t="n">
        <f aca="false">D27*F27</f>
        <v>25.65</v>
      </c>
      <c r="H27" s="5" t="s">
        <v>17</v>
      </c>
      <c r="I27" s="5" t="s">
        <v>18</v>
      </c>
      <c r="J27" s="9" t="s">
        <v>19</v>
      </c>
      <c r="K27" s="5" t="s">
        <v>89</v>
      </c>
    </row>
    <row r="28" customFormat="false" ht="31.5" hidden="false" customHeight="true" outlineLevel="0" collapsed="false">
      <c r="A28" s="4" t="s">
        <v>86</v>
      </c>
      <c r="B28" s="5" t="s">
        <v>90</v>
      </c>
      <c r="C28" s="5" t="s">
        <v>91</v>
      </c>
      <c r="D28" s="10" t="n">
        <v>1</v>
      </c>
      <c r="E28" s="4" t="s">
        <v>37</v>
      </c>
      <c r="F28" s="11" t="n">
        <v>1.05</v>
      </c>
      <c r="G28" s="8" t="n">
        <f aca="false">D28*F28</f>
        <v>1.05</v>
      </c>
      <c r="H28" s="5" t="s">
        <v>17</v>
      </c>
      <c r="I28" s="5" t="s">
        <v>18</v>
      </c>
      <c r="J28" s="9" t="s">
        <v>19</v>
      </c>
      <c r="K28" s="5"/>
    </row>
    <row r="29" customFormat="false" ht="31.5" hidden="false" customHeight="true" outlineLevel="0" collapsed="false">
      <c r="A29" s="4" t="s">
        <v>86</v>
      </c>
      <c r="B29" s="5" t="s">
        <v>92</v>
      </c>
      <c r="C29" s="5" t="s">
        <v>93</v>
      </c>
      <c r="D29" s="10" t="n">
        <v>1</v>
      </c>
      <c r="E29" s="4" t="s">
        <v>16</v>
      </c>
      <c r="F29" s="12" t="n">
        <v>20</v>
      </c>
      <c r="G29" s="8" t="n">
        <f aca="false">D29*F29</f>
        <v>20</v>
      </c>
      <c r="H29" s="5" t="s">
        <v>41</v>
      </c>
      <c r="I29" s="5" t="s">
        <v>18</v>
      </c>
      <c r="J29" s="4"/>
      <c r="K29" s="5"/>
    </row>
    <row r="30" customFormat="false" ht="31.5" hidden="false" customHeight="true" outlineLevel="0" collapsed="false">
      <c r="A30" s="4" t="s">
        <v>94</v>
      </c>
      <c r="B30" s="5" t="s">
        <v>95</v>
      </c>
      <c r="C30" s="5" t="s">
        <v>96</v>
      </c>
      <c r="D30" s="10" t="n">
        <v>1</v>
      </c>
      <c r="E30" s="4" t="s">
        <v>16</v>
      </c>
      <c r="F30" s="11" t="n">
        <v>27.9</v>
      </c>
      <c r="G30" s="8" t="n">
        <f aca="false">D30*F30</f>
        <v>27.9</v>
      </c>
      <c r="H30" s="5" t="s">
        <v>17</v>
      </c>
      <c r="I30" s="5" t="s">
        <v>18</v>
      </c>
      <c r="J30" s="9" t="s">
        <v>19</v>
      </c>
      <c r="K30" s="5"/>
    </row>
    <row r="31" customFormat="false" ht="31.5" hidden="false" customHeight="true" outlineLevel="0" collapsed="false">
      <c r="A31" s="4" t="s">
        <v>94</v>
      </c>
      <c r="B31" s="5" t="s">
        <v>97</v>
      </c>
      <c r="C31" s="5" t="s">
        <v>98</v>
      </c>
      <c r="D31" s="10" t="n">
        <v>1</v>
      </c>
      <c r="E31" s="4" t="s">
        <v>16</v>
      </c>
      <c r="F31" s="11" t="n">
        <v>6.7</v>
      </c>
      <c r="G31" s="8" t="n">
        <f aca="false">D31*F31</f>
        <v>6.7</v>
      </c>
      <c r="H31" s="5" t="s">
        <v>17</v>
      </c>
      <c r="I31" s="5" t="s">
        <v>18</v>
      </c>
      <c r="J31" s="9" t="s">
        <v>19</v>
      </c>
      <c r="K31" s="5"/>
    </row>
    <row r="32" customFormat="false" ht="31.5" hidden="false" customHeight="true" outlineLevel="0" collapsed="false">
      <c r="A32" s="4" t="s">
        <v>94</v>
      </c>
      <c r="B32" s="5" t="s">
        <v>99</v>
      </c>
      <c r="C32" s="5" t="s">
        <v>100</v>
      </c>
      <c r="D32" s="10" t="n">
        <v>1</v>
      </c>
      <c r="E32" s="4" t="s">
        <v>62</v>
      </c>
      <c r="F32" s="12" t="n">
        <v>8</v>
      </c>
      <c r="G32" s="8" t="n">
        <f aca="false">D32*F32</f>
        <v>8</v>
      </c>
      <c r="H32" s="5" t="s">
        <v>41</v>
      </c>
      <c r="I32" s="5" t="s">
        <v>18</v>
      </c>
      <c r="J32" s="4"/>
      <c r="K32" s="5"/>
    </row>
    <row r="34" customFormat="false" ht="15" hidden="false" customHeight="false" outlineLevel="0" collapsed="false">
      <c r="F34" s="13" t="s">
        <v>101</v>
      </c>
      <c r="G34" s="8" t="n">
        <f aca="false">SUMIFS(G5:G32,H5:H32,"verificato 18/10/2026")</f>
        <v>429.88</v>
      </c>
    </row>
    <row r="35" customFormat="false" ht="15" hidden="false" customHeight="false" outlineLevel="0" collapsed="false">
      <c r="F35" s="13" t="s">
        <v>102</v>
      </c>
      <c r="G35" s="8" t="n">
        <f aca="false">SUMIFS(G5:G32,H5:H32,"stima – da verificare")</f>
        <v>183.4</v>
      </c>
    </row>
    <row r="36" customFormat="false" ht="15" hidden="false" customHeight="false" outlineLevel="0" collapsed="false">
      <c r="F36" s="14" t="s">
        <v>103</v>
      </c>
      <c r="G36" s="15" t="n">
        <f aca="false">SUM(G5:G32)</f>
        <v>613.28</v>
      </c>
    </row>
    <row r="38" customFormat="false" ht="15" hidden="false" customHeight="false" outlineLevel="0" collapsed="false">
      <c r="F38" s="13" t="s">
        <v>104</v>
      </c>
      <c r="G38" s="8" t="n">
        <f aca="false">SUMIFS(G5:G32,A5:A32,"Legno")</f>
        <v>262.2</v>
      </c>
    </row>
    <row r="39" customFormat="false" ht="15" hidden="false" customHeight="false" outlineLevel="0" collapsed="false">
      <c r="F39" s="13" t="s">
        <v>105</v>
      </c>
      <c r="G39" s="8" t="n">
        <f aca="false">SUMIFS(G5:G32,A5:A32,"Ferramenta telaio")</f>
        <v>149.88</v>
      </c>
    </row>
    <row r="40" customFormat="false" ht="15" hidden="false" customHeight="false" outlineLevel="0" collapsed="false">
      <c r="F40" s="13" t="s">
        <v>106</v>
      </c>
      <c r="G40" s="8" t="n">
        <f aca="false">SUMIFS(G5:G32,A5:A32,"Zona ricarica")</f>
        <v>111.9</v>
      </c>
    </row>
    <row r="41" customFormat="false" ht="15" hidden="false" customHeight="false" outlineLevel="0" collapsed="false">
      <c r="F41" s="13" t="s">
        <v>107</v>
      </c>
      <c r="G41" s="8" t="n">
        <f aca="false">SUMIFS(G5:G32,A5:A32,"Elettrico")</f>
        <v>46.7</v>
      </c>
    </row>
    <row r="42" customFormat="false" ht="15" hidden="false" customHeight="false" outlineLevel="0" collapsed="false">
      <c r="F42" s="13" t="s">
        <v>108</v>
      </c>
      <c r="G42" s="8" t="n">
        <f aca="false">SUMIFS(G5:G32,A5:A32,"Finitura")</f>
        <v>42.6</v>
      </c>
    </row>
    <row r="44" customFormat="false" ht="15" hidden="false" customHeight="false" outlineLevel="0" collapsed="false">
      <c r="F44" s="13" t="s">
        <v>109</v>
      </c>
      <c r="G44" s="8" t="n">
        <f aca="false">SUMIFS(G5:G32,I5:I32,"Leroy Merlin")</f>
        <v>2.5</v>
      </c>
    </row>
    <row r="45" customFormat="false" ht="15" hidden="false" customHeight="false" outlineLevel="0" collapsed="false">
      <c r="F45" s="13" t="s">
        <v>110</v>
      </c>
      <c r="G45" s="8" t="n">
        <f aca="false">SUMIFS(G5:G32,I5:I32,"OBI")</f>
        <v>80.28</v>
      </c>
    </row>
    <row r="46" customFormat="false" ht="15" hidden="false" customHeight="false" outlineLevel="0" collapsed="false">
      <c r="F46" s="13" t="s">
        <v>111</v>
      </c>
      <c r="G46" s="8" t="n">
        <f aca="false">SUMIFS(G5:G32,I5:I32,"Tecnomat")</f>
        <v>393.1</v>
      </c>
    </row>
    <row r="47" customFormat="false" ht="15" hidden="false" customHeight="false" outlineLevel="0" collapsed="false">
      <c r="F47" s="13" t="s">
        <v>112</v>
      </c>
      <c r="G47" s="8" t="n">
        <f aca="false">SUMIFS(G5:G32,I5:I32,"ferramenta/online")</f>
        <v>47.4</v>
      </c>
    </row>
    <row r="48" customFormat="false" ht="15" hidden="false" customHeight="false" outlineLevel="0" collapsed="false">
      <c r="F48" s="13" t="s">
        <v>113</v>
      </c>
      <c r="G48" s="8" t="n">
        <f aca="false">SUMIFS(G5:G32,I5:I32,"officina/carpenteria")</f>
        <v>90</v>
      </c>
    </row>
    <row r="50" customFormat="false" ht="15" hidden="false" customHeight="false" outlineLevel="0" collapsed="false">
      <c r="A50" s="2" t="s">
        <v>114</v>
      </c>
    </row>
    <row r="51" customFormat="false" ht="15" hidden="false" customHeight="false" outlineLevel="0" collapsed="false">
      <c r="A51" s="2" t="s">
        <v>115</v>
      </c>
    </row>
    <row r="52" customFormat="false" ht="15" hidden="false" customHeight="false" outlineLevel="0" collapsed="false">
      <c r="A52" s="2" t="s">
        <v>116</v>
      </c>
    </row>
  </sheetData>
  <hyperlinks>
    <hyperlink ref="J5" r:id="rId1" display="apri"/>
    <hyperlink ref="J6" r:id="rId2" display="apri"/>
    <hyperlink ref="J7" r:id="rId3" display="apri"/>
    <hyperlink ref="J8" r:id="rId4" display="apri"/>
    <hyperlink ref="J9" r:id="rId5" display="apri"/>
    <hyperlink ref="J10" r:id="rId6" display="apri"/>
    <hyperlink ref="J12" r:id="rId7" display="apri"/>
    <hyperlink ref="J13" r:id="rId8" display="apri"/>
    <hyperlink ref="J14" r:id="rId9" display="apri"/>
    <hyperlink ref="J15" r:id="rId10" display="apri"/>
    <hyperlink ref="J16" r:id="rId11" display="apri"/>
    <hyperlink ref="J17" r:id="rId12" display="apri"/>
    <hyperlink ref="J19" r:id="rId13" display="apri"/>
    <hyperlink ref="J24" r:id="rId14" display="apri"/>
    <hyperlink ref="J25" r:id="rId15" display="apri"/>
    <hyperlink ref="J27" r:id="rId16" display="apri"/>
    <hyperlink ref="J28" r:id="rId17" display="apri"/>
    <hyperlink ref="J30" r:id="rId18" display="apri"/>
    <hyperlink ref="J31" r:id="rId19" display="apri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1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2"/>
    <col collapsed="false" customWidth="true" hidden="false" outlineLevel="0" max="9" min="9" style="0" width="11"/>
    <col collapsed="false" customWidth="true" hidden="false" outlineLevel="0" max="10" min="10" style="0" width="13"/>
  </cols>
  <sheetData>
    <row r="1" customFormat="false" ht="17.35" hidden="false" customHeight="false" outlineLevel="0" collapsed="false">
      <c r="A1" s="1" t="s">
        <v>117</v>
      </c>
    </row>
    <row r="4" customFormat="false" ht="39.55" hidden="false" customHeight="false" outlineLevel="0" collapsed="false">
      <c r="A4" s="3" t="s">
        <v>118</v>
      </c>
      <c r="B4" s="3" t="s">
        <v>119</v>
      </c>
      <c r="C4" s="3" t="s">
        <v>120</v>
      </c>
      <c r="D4" s="3" t="s">
        <v>121</v>
      </c>
      <c r="E4" s="3" t="s">
        <v>122</v>
      </c>
      <c r="F4" s="3" t="s">
        <v>123</v>
      </c>
      <c r="G4" s="3" t="s">
        <v>124</v>
      </c>
      <c r="H4" s="3"/>
      <c r="I4" s="3" t="s">
        <v>125</v>
      </c>
      <c r="J4" s="3" t="s">
        <v>126</v>
      </c>
    </row>
    <row r="5" customFormat="false" ht="15" hidden="false" customHeight="false" outlineLevel="0" collapsed="false">
      <c r="A5" s="4" t="s">
        <v>127</v>
      </c>
      <c r="B5" s="4" t="s">
        <v>128</v>
      </c>
      <c r="C5" s="16" t="n">
        <v>6</v>
      </c>
      <c r="D5" s="11" t="n">
        <v>83.5</v>
      </c>
      <c r="E5" s="17" t="n">
        <f aca="false">D5/C5</f>
        <v>13.9166666666667</v>
      </c>
      <c r="F5" s="18" t="n">
        <v>15.26</v>
      </c>
      <c r="G5" s="16" t="n">
        <v>5.1</v>
      </c>
      <c r="I5" s="10" t="n">
        <v>3</v>
      </c>
      <c r="J5" s="8" t="n">
        <f aca="false">I5*D5</f>
        <v>250.5</v>
      </c>
    </row>
    <row r="6" customFormat="false" ht="15" hidden="false" customHeight="false" outlineLevel="0" collapsed="false">
      <c r="A6" s="4" t="s">
        <v>129</v>
      </c>
      <c r="B6" s="4" t="s">
        <v>128</v>
      </c>
      <c r="C6" s="16" t="n">
        <v>4</v>
      </c>
      <c r="D6" s="11" t="n">
        <v>55.9</v>
      </c>
      <c r="E6" s="17" t="n">
        <f aca="false">D6/C6</f>
        <v>13.975</v>
      </c>
      <c r="F6" s="18" t="n">
        <v>15.26</v>
      </c>
      <c r="G6" s="16" t="n">
        <v>5.1</v>
      </c>
      <c r="I6" s="10" t="n">
        <v>4</v>
      </c>
      <c r="J6" s="8" t="n">
        <f aca="false">I6*D6</f>
        <v>223.6</v>
      </c>
    </row>
    <row r="7" customFormat="false" ht="15" hidden="false" customHeight="false" outlineLevel="0" collapsed="false">
      <c r="A7" s="4" t="s">
        <v>130</v>
      </c>
      <c r="B7" s="4" t="s">
        <v>131</v>
      </c>
      <c r="C7" s="16" t="n">
        <v>4</v>
      </c>
      <c r="D7" s="11" t="n">
        <v>31.9</v>
      </c>
      <c r="E7" s="17" t="n">
        <f aca="false">D7/C7</f>
        <v>7.975</v>
      </c>
      <c r="F7" s="18" t="n">
        <v>16.22</v>
      </c>
      <c r="G7" s="16" t="n">
        <v>1.6</v>
      </c>
      <c r="I7" s="10" t="n">
        <v>5</v>
      </c>
      <c r="J7" s="8" t="n">
        <f aca="false">I7*D7</f>
        <v>159.5</v>
      </c>
    </row>
    <row r="8" customFormat="false" ht="15" hidden="false" customHeight="false" outlineLevel="0" collapsed="false">
      <c r="A8" s="19" t="s">
        <v>132</v>
      </c>
      <c r="B8" s="20" t="s">
        <v>133</v>
      </c>
      <c r="C8" s="21" t="n">
        <v>4</v>
      </c>
      <c r="D8" s="22" t="n">
        <v>29.9</v>
      </c>
      <c r="E8" s="23" t="n">
        <f aca="false">D8/C8</f>
        <v>7.475</v>
      </c>
      <c r="F8" s="24" t="n">
        <v>15.9</v>
      </c>
      <c r="G8" s="21" t="n">
        <v>3.4</v>
      </c>
      <c r="H8" s="25"/>
      <c r="I8" s="26" t="n">
        <v>5</v>
      </c>
      <c r="J8" s="27" t="n">
        <f aca="false">I8*D8</f>
        <v>149.5</v>
      </c>
    </row>
    <row r="9" customFormat="false" ht="15" hidden="false" customHeight="false" outlineLevel="0" collapsed="false">
      <c r="A9" s="4" t="s">
        <v>134</v>
      </c>
      <c r="B9" s="4" t="s">
        <v>135</v>
      </c>
      <c r="C9" s="16" t="n">
        <v>4</v>
      </c>
      <c r="D9" s="11" t="n">
        <v>39.9</v>
      </c>
      <c r="E9" s="17" t="n">
        <f aca="false">D9/C9</f>
        <v>9.975</v>
      </c>
      <c r="F9" s="18" t="n">
        <v>15.58</v>
      </c>
      <c r="G9" s="16" t="n">
        <v>4.2</v>
      </c>
      <c r="I9" s="10" t="n">
        <v>4</v>
      </c>
      <c r="J9" s="8" t="n">
        <f aca="false">I9*D9</f>
        <v>159.6</v>
      </c>
    </row>
    <row r="11" customFormat="false" ht="15" hidden="false" customHeight="false" outlineLevel="0" collapsed="false">
      <c r="A11" s="2" t="s">
        <v>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  <col collapsed="false" customWidth="true" hidden="false" outlineLevel="0" max="6" min="5" style="0" width="12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137</v>
      </c>
    </row>
    <row r="4" customFormat="false" ht="15" hidden="false" customHeight="false" outlineLevel="0" collapsed="false">
      <c r="A4" s="3" t="s">
        <v>138</v>
      </c>
      <c r="B4" s="3" t="s">
        <v>10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12</v>
      </c>
    </row>
    <row r="5" customFormat="false" ht="15" hidden="false" customHeight="false" outlineLevel="0" collapsed="false">
      <c r="A5" s="19" t="s">
        <v>143</v>
      </c>
      <c r="B5" s="20" t="s">
        <v>18</v>
      </c>
      <c r="C5" s="20" t="s">
        <v>144</v>
      </c>
      <c r="D5" s="26" t="n">
        <v>1</v>
      </c>
      <c r="E5" s="22" t="n">
        <v>27.5</v>
      </c>
      <c r="F5" s="27" t="n">
        <f aca="false">D5*E5</f>
        <v>27.5</v>
      </c>
      <c r="G5" s="28" t="s">
        <v>145</v>
      </c>
    </row>
    <row r="6" customFormat="false" ht="15" hidden="false" customHeight="false" outlineLevel="0" collapsed="false">
      <c r="A6" s="4" t="s">
        <v>146</v>
      </c>
      <c r="B6" s="4" t="s">
        <v>82</v>
      </c>
      <c r="C6" s="4" t="s">
        <v>144</v>
      </c>
      <c r="D6" s="10" t="n">
        <v>1</v>
      </c>
      <c r="E6" s="11" t="n">
        <v>30.5</v>
      </c>
      <c r="F6" s="8" t="n">
        <f aca="false">D6*E6</f>
        <v>30.5</v>
      </c>
      <c r="G6" s="5"/>
    </row>
    <row r="7" customFormat="false" ht="15" hidden="false" customHeight="false" outlineLevel="0" collapsed="false">
      <c r="A7" s="4" t="s">
        <v>146</v>
      </c>
      <c r="B7" s="4" t="s">
        <v>33</v>
      </c>
      <c r="C7" s="4" t="s">
        <v>144</v>
      </c>
      <c r="D7" s="10" t="n">
        <v>1</v>
      </c>
      <c r="E7" s="11" t="n">
        <v>31.49</v>
      </c>
      <c r="F7" s="8" t="n">
        <f aca="false">D7*E7</f>
        <v>31.49</v>
      </c>
      <c r="G7" s="5"/>
    </row>
    <row r="8" customFormat="false" ht="15" hidden="false" customHeight="false" outlineLevel="0" collapsed="false">
      <c r="A8" s="4" t="s">
        <v>147</v>
      </c>
      <c r="B8" s="4" t="s">
        <v>18</v>
      </c>
      <c r="C8" s="4" t="s">
        <v>148</v>
      </c>
      <c r="D8" s="10" t="n">
        <v>1</v>
      </c>
      <c r="E8" s="11" t="n">
        <v>79</v>
      </c>
      <c r="F8" s="8" t="n">
        <f aca="false">D8*E8</f>
        <v>79</v>
      </c>
      <c r="G8" s="5" t="s">
        <v>149</v>
      </c>
    </row>
    <row r="9" customFormat="false" ht="15" hidden="false" customHeight="false" outlineLevel="0" collapsed="false">
      <c r="A9" s="4" t="s">
        <v>150</v>
      </c>
      <c r="B9" s="4" t="s">
        <v>33</v>
      </c>
      <c r="C9" s="4" t="s">
        <v>151</v>
      </c>
      <c r="D9" s="10" t="n">
        <v>14</v>
      </c>
      <c r="E9" s="11" t="n">
        <v>8.19</v>
      </c>
      <c r="F9" s="8" t="n">
        <f aca="false">D9*E9</f>
        <v>114.66</v>
      </c>
      <c r="G9" s="5" t="s">
        <v>152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52"/>
    <col collapsed="false" customWidth="true" hidden="false" outlineLevel="0" max="4" min="3" style="0" width="12"/>
  </cols>
  <sheetData>
    <row r="1" customFormat="false" ht="17.35" hidden="false" customHeight="false" outlineLevel="0" collapsed="false">
      <c r="A1" s="1" t="s">
        <v>153</v>
      </c>
    </row>
    <row r="3" customFormat="false" ht="26.85" hidden="false" customHeight="false" outlineLevel="0" collapsed="false">
      <c r="A3" s="3" t="s">
        <v>154</v>
      </c>
      <c r="B3" s="3" t="s">
        <v>155</v>
      </c>
      <c r="C3" s="3" t="s">
        <v>156</v>
      </c>
      <c r="D3" s="3" t="s">
        <v>157</v>
      </c>
    </row>
    <row r="4" customFormat="false" ht="15" hidden="false" customHeight="false" outlineLevel="0" collapsed="false">
      <c r="A4" s="4" t="s">
        <v>158</v>
      </c>
      <c r="B4" s="4" t="s">
        <v>159</v>
      </c>
      <c r="C4" s="29" t="n">
        <v>3694</v>
      </c>
      <c r="D4" s="30" t="n">
        <f aca="false">4000-C4</f>
        <v>306</v>
      </c>
    </row>
    <row r="5" customFormat="false" ht="15" hidden="false" customHeight="false" outlineLevel="0" collapsed="false">
      <c r="A5" s="4" t="s">
        <v>160</v>
      </c>
      <c r="B5" s="4" t="s">
        <v>161</v>
      </c>
      <c r="C5" s="29" t="n">
        <v>3614</v>
      </c>
      <c r="D5" s="30" t="n">
        <f aca="false">4000-C5</f>
        <v>386</v>
      </c>
    </row>
    <row r="6" customFormat="false" ht="15" hidden="false" customHeight="false" outlineLevel="0" collapsed="false">
      <c r="A6" s="4" t="s">
        <v>162</v>
      </c>
      <c r="B6" s="4" t="s">
        <v>163</v>
      </c>
      <c r="C6" s="29" t="n">
        <v>3654</v>
      </c>
      <c r="D6" s="30" t="n">
        <f aca="false">4000-C6</f>
        <v>346</v>
      </c>
    </row>
    <row r="7" customFormat="false" ht="15" hidden="false" customHeight="false" outlineLevel="0" collapsed="false">
      <c r="A7" s="4" t="s">
        <v>164</v>
      </c>
      <c r="B7" s="4" t="s">
        <v>165</v>
      </c>
      <c r="C7" s="29" t="n">
        <v>1418</v>
      </c>
      <c r="D7" s="30" t="n">
        <f aca="false">4000-C7</f>
        <v>2582</v>
      </c>
    </row>
    <row r="8" customFormat="false" ht="15" hidden="false" customHeight="false" outlineLevel="0" collapsed="false">
      <c r="A8" s="4" t="s">
        <v>166</v>
      </c>
      <c r="B8" s="4" t="s">
        <v>167</v>
      </c>
      <c r="C8" s="29" t="n">
        <v>3686</v>
      </c>
      <c r="D8" s="30" t="n">
        <f aca="false">4000-C8</f>
        <v>314</v>
      </c>
    </row>
    <row r="10" customFormat="false" ht="15" hidden="false" customHeight="false" outlineLevel="0" collapsed="false">
      <c r="A10" s="2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2026-10-18T09:07:51Z</dcterms:created>
  <dc:creator>openpyxl</dc:creator>
  <dc:description/>
  <dc:language>en-US</dc:language>
  <cp:lastModifiedBy/>
  <dcterms:modified xsi:type="dcterms:W3CDTF">2026-10-18T09:07:51Z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