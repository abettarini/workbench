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inta costi" sheetId="1" state="visible" r:id="rId3"/>
    <sheet name="Confronto travi" sheetId="2" state="visible" r:id="rId4"/>
    <sheet name="Confronto ripiani" sheetId="3" state="visible" r:id="rId5"/>
    <sheet name="Taglio trav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<sst xmlns="http://schemas.openxmlformats.org/spreadsheetml/2006/main" count="193" uniqueCount="135">
  <si>
    <t xml:space="preserve">Modulo 1 – Tavolo base: distinta e costi</t>
  </si>
  <si>
    <t xml:space="preserve">Celle gialle = stime da sostituire con i prezzi reali. Testo blu = dato modificabile, verde = collegato a un altro foglio.</t>
  </si>
  <si>
    <t xml:space="preserve">Categoria</t>
  </si>
  <si>
    <t xml:space="preserve">Articolo</t>
  </si>
  <si>
    <t xml:space="preserve">Uso</t>
  </si>
  <si>
    <t xml:space="preserve">Q.tà</t>
  </si>
  <si>
    <t xml:space="preserve">Unità</t>
  </si>
  <si>
    <t xml:space="preserve">Prezzo unitario</t>
  </si>
  <si>
    <t xml:space="preserve">Totale</t>
  </si>
  <si>
    <t xml:space="preserve">Fonte prezzo</t>
  </si>
  <si>
    <t xml:space="preserve">Legno</t>
  </si>
  <si>
    <t xml:space="preserve">Trave KVH giuntato 80×120, barra 4 m</t>
  </si>
  <si>
    <t xml:space="preserve">gambe, traverse e i 4 montanti dell'alzatina (~2,6 m di scorta)</t>
  </si>
  <si>
    <t xml:space="preserve">pz</t>
  </si>
  <si>
    <t xml:space="preserve">fornito da te</t>
  </si>
  <si>
    <t xml:space="preserve">Tavola abete lamellare 2000×800×40</t>
  </si>
  <si>
    <t xml:space="preserve">piano di lavoro (intero)</t>
  </si>
  <si>
    <t xml:space="preserve">Pannello OSB/3 2500×1250×18</t>
  </si>
  <si>
    <t xml:space="preserve">3 ripiani bassi + rinforzo ricarica (2 strati)</t>
  </si>
  <si>
    <t xml:space="preserve">OBI, verificato 18/10/2026</t>
  </si>
  <si>
    <t xml:space="preserve">Listello abete 30×40, barra 2,4 m</t>
  </si>
  <si>
    <t xml:space="preserve">reggiripiano: 4 × 560 + 2 × 260</t>
  </si>
  <si>
    <t xml:space="preserve">stima – da verificare</t>
  </si>
  <si>
    <t xml:space="preserve">Ferramenta telaio</t>
  </si>
  <si>
    <t xml:space="preserve">Bullone TCEI M10×180 + rondella Ø20 (B1)</t>
  </si>
  <si>
    <t xml:space="preserve">traverse laterali</t>
  </si>
  <si>
    <t xml:space="preserve">Bullone TCEI M10×140 + rondella Ø20 (B2)</t>
  </si>
  <si>
    <t xml:space="preserve">traverse longitudinali, gambe con una sola traversa</t>
  </si>
  <si>
    <t xml:space="preserve">Dado a tamburo M10 (D)</t>
  </si>
  <si>
    <t xml:space="preserve">34 nodi + 4 predisposizione alzatina</t>
  </si>
  <si>
    <t xml:space="preserve">Barra filettata M10 da 1 m (R)</t>
  </si>
  <si>
    <t xml:space="preserve">4 spezzoni da 220 per le gambe centrali</t>
  </si>
  <si>
    <t xml:space="preserve">Spine in faggio Ø12×50 (conf. 100)</t>
  </si>
  <si>
    <t xml:space="preserve">2 per nodo</t>
  </si>
  <si>
    <t xml:space="preserve">conf</t>
  </si>
  <si>
    <t xml:space="preserve">Colla vinilica D3 750 g</t>
  </si>
  <si>
    <t xml:space="preserve">spine, rinforzo, listelli</t>
  </si>
  <si>
    <t xml:space="preserve">Inserto filettato M10 + piedino livellatore</t>
  </si>
  <si>
    <t xml:space="preserve">sotto le gambe</t>
  </si>
  <si>
    <t xml:space="preserve">Squadrette con asola + viti</t>
  </si>
  <si>
    <t xml:space="preserve">fissaggio del piano</t>
  </si>
  <si>
    <t xml:space="preserve">Viti assortite (5×60, 5×70, 4×50, 4,5×25)</t>
  </si>
  <si>
    <t xml:space="preserve">rinforzo, listelli, ripiani, squadrette</t>
  </si>
  <si>
    <t xml:space="preserve">set</t>
  </si>
  <si>
    <t xml:space="preserve">Angolare a L 100×100 + tassello Ø8</t>
  </si>
  <si>
    <t xml:space="preserve">fissaggio a muro (G1P e G4P)</t>
  </si>
  <si>
    <t xml:space="preserve">Zona ricarica</t>
  </si>
  <si>
    <t xml:space="preserve">Piastre acciaio tagliate e forate (base 180×180×12, contropiastra 220×220×6, 3 piastre attrezzo)</t>
  </si>
  <si>
    <t xml:space="preserve">attacco presse e morsa</t>
  </si>
  <si>
    <t xml:space="preserve">lotto</t>
  </si>
  <si>
    <t xml:space="preserve">Viti TSPEI M10×110 + rondella larga + dado autobloccante</t>
  </si>
  <si>
    <t xml:space="preserve">base, 2 posteriori</t>
  </si>
  <si>
    <t xml:space="preserve">Viti TSPEI M10×200 + rondella larga + dado autobloccante</t>
  </si>
  <si>
    <t xml:space="preserve">base, 2 anteriori</t>
  </si>
  <si>
    <t xml:space="preserve">Manopole a stella M12 + 2 spine Ø10 h8</t>
  </si>
  <si>
    <t xml:space="preserve">bloccaggio piastre</t>
  </si>
  <si>
    <t xml:space="preserve">kit</t>
  </si>
  <si>
    <t xml:space="preserve">Elettrico</t>
  </si>
  <si>
    <t xml:space="preserve">Canalina passacavi sottoscrivania</t>
  </si>
  <si>
    <t xml:space="preserve">una per campata</t>
  </si>
  <si>
    <t xml:space="preserve">Passacavi Ø60 da incasso</t>
  </si>
  <si>
    <t xml:space="preserve">piano</t>
  </si>
  <si>
    <t xml:space="preserve">Ciabatta 6 prese con interruttore</t>
  </si>
  <si>
    <t xml:space="preserve">campata seduta</t>
  </si>
  <si>
    <t xml:space="preserve">Finitura</t>
  </si>
  <si>
    <t xml:space="preserve">Olio/impregnante 750 ml + abrasivi</t>
  </si>
  <si>
    <t xml:space="preserve">telaio e piano; vernice trasparente per l'OSB</t>
  </si>
  <si>
    <t xml:space="preserve">Prezzi verificati</t>
  </si>
  <si>
    <t xml:space="preserve">Stime</t>
  </si>
  <si>
    <t xml:space="preserve">TOTALE</t>
  </si>
  <si>
    <t xml:space="preserve">di cui legno</t>
  </si>
  <si>
    <t xml:space="preserve">di cui ferramenta telaio</t>
  </si>
  <si>
    <t xml:space="preserve">di cui zona ricarica</t>
  </si>
  <si>
    <t xml:space="preserve">di cui elettrico</t>
  </si>
  <si>
    <t xml:space="preserve">di cui finitura</t>
  </si>
  <si>
    <t xml:space="preserve">Travi e lamellare: prezzi forniti da te. OSB/3 18: prezzo OBI verificato il 18/10/2026. Il resto sono stime.</t>
  </si>
  <si>
    <t xml:space="preserve">I 4 dadi a tamburo della predisposizione vanno inseriti durante il montaggio: con il tavolo a muro non si raggiungono.</t>
  </si>
  <si>
    <t xml:space="preserve">Confronto travi per il telaio</t>
  </si>
  <si>
    <t xml:space="preserve">Trave</t>
  </si>
  <si>
    <t xml:space="preserve">Sezione</t>
  </si>
  <si>
    <t xml:space="preserve">Lungh. barra (m)</t>
  </si>
  <si>
    <t xml:space="preserve">Prezzo barra</t>
  </si>
  <si>
    <t xml:space="preserve">Prezzo al metro</t>
  </si>
  <si>
    <t xml:space="preserve">Metri necessari</t>
  </si>
  <si>
    <t xml:space="preserve">Rigidezza gamba (8×8=1)</t>
  </si>
  <si>
    <t xml:space="preserve">Barre necessarie</t>
  </si>
  <si>
    <t xml:space="preserve">Costo telaio</t>
  </si>
  <si>
    <t xml:space="preserve">Trave abete 120×120 – 6 m</t>
  </si>
  <si>
    <t xml:space="preserve">120×120</t>
  </si>
  <si>
    <t xml:space="preserve">Trave abete 120×120 – 4 m</t>
  </si>
  <si>
    <t xml:space="preserve">Trave abete 90×90 – 4 m</t>
  </si>
  <si>
    <t xml:space="preserve">90×90</t>
  </si>
  <si>
    <t xml:space="preserve">KVH giuntato 80×120 – 4 m</t>
  </si>
  <si>
    <t xml:space="preserve">80×120</t>
  </si>
  <si>
    <t xml:space="preserve">KVH giuntato 100×120 – 4 m</t>
  </si>
  <si>
    <t xml:space="preserve">100×120</t>
  </si>
  <si>
    <t xml:space="preserve">Riga verde = trave scelta. Barre calcolate con ottimizzazione del taglio (foglio 'Taglio travi').</t>
  </si>
  <si>
    <t xml:space="preserve">Ripiani bassi e rinforzo ricarica: tre materiali a confronto</t>
  </si>
  <si>
    <t xml:space="preserve">Servono: ripiano cassetti 500×560, ripiano ricarica 480×560, ripiano seduta 700×260, rinforzo 480×520 (spessore ≥ 36).</t>
  </si>
  <si>
    <t xml:space="preserve">Materiale</t>
  </si>
  <si>
    <t xml:space="preserve">Formato</t>
  </si>
  <si>
    <t xml:space="preserve">Spessore ripiani</t>
  </si>
  <si>
    <t xml:space="preserve">Pezzi necessari</t>
  </si>
  <si>
    <t xml:space="preserve">Costo</t>
  </si>
  <si>
    <t xml:space="preserve">Fonte</t>
  </si>
  <si>
    <t xml:space="preserve">Note</t>
  </si>
  <si>
    <t xml:space="preserve">OSB/3 18 (SCELTO)</t>
  </si>
  <si>
    <t xml:space="preserve">2500×1250</t>
  </si>
  <si>
    <t xml:space="preserve">18 mm</t>
  </si>
  <si>
    <t xml:space="preserve">Un pannello per tutto: 3 ripiani + rinforzo in 2 strati (36 mm). Avanzano ~1,8 m² (utili anche per la cassettiera).</t>
  </si>
  <si>
    <t xml:space="preserve">Lamellare abete 40</t>
  </si>
  <si>
    <t xml:space="preserve">2000×800</t>
  </si>
  <si>
    <t xml:space="preserve">40 mm</t>
  </si>
  <si>
    <t xml:space="preserve">Un pannello per tutto, ripiani più spessi e belli; costa 2,5 volte l'OSB.</t>
  </si>
  <si>
    <t xml:space="preserve">Tavola OBI lamellare 14</t>
  </si>
  <si>
    <t xml:space="preserve">800×200</t>
  </si>
  <si>
    <t xml:space="preserve">14 mm</t>
  </si>
  <si>
    <t xml:space="preserve">8 tavole per i ripiani (3 + 3 + 2, una tagliata in larghezza) + 6 per il rinforzo in 2 strati da 28 mm. La più cara e la più sottile.</t>
  </si>
  <si>
    <t xml:space="preserve">Costo al m²: OSB 18 ≈ 10 €/m² · lamellare 40 ≈ 49 €/m² · tavola OBI 14 ≈ 51 €/m².</t>
  </si>
  <si>
    <t xml:space="preserve">Taglio travi KVH 80×120 (barre da 4 m)</t>
  </si>
  <si>
    <t xml:space="preserve">Barra</t>
  </si>
  <si>
    <t xml:space="preserve">Tagli (mm)</t>
  </si>
  <si>
    <t xml:space="preserve">Usato (mm)</t>
  </si>
  <si>
    <t xml:space="preserve">Avanzo (mm)</t>
  </si>
  <si>
    <t xml:space="preserve">Barra 1</t>
  </si>
  <si>
    <t xml:space="preserve">700 + 700 + 700 + 560 + 500 + 500</t>
  </si>
  <si>
    <t xml:space="preserve">Barra 2</t>
  </si>
  <si>
    <t xml:space="preserve">700 + 700 + 560 + 560 + 560 + 500</t>
  </si>
  <si>
    <t xml:space="preserve">Barra 3</t>
  </si>
  <si>
    <t xml:space="preserve">700 + 700 + 700 + 560 + 480 + 480</t>
  </si>
  <si>
    <t xml:space="preserve">Barra 4</t>
  </si>
  <si>
    <t xml:space="preserve">700 + 700</t>
  </si>
  <si>
    <t xml:space="preserve">Barra 5</t>
  </si>
  <si>
    <t xml:space="preserve">560 + 560 + 560 + 480 + 480 + 250 + 250 + 250 + 250</t>
  </si>
  <si>
    <t xml:space="preserve">I 4 pezzi da 250 sono i montanti dell'alzatina: tagliali e conservali anche se l'alzatina la farai dopo.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</si>
</sst>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.00&quot; €&quot;;\-#,##0.00&quot; €&quot;;\-"/>
    <numFmt numFmtId="167" formatCode="0.0"/>
    <numFmt numFmtId="168" formatCode="#,##0.00&quot; €/m&quot;"/>
    <numFmt numFmtId="169" formatCode="0.00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9DFCC"/>
        <bgColor rgb="FFDCEBD6"/>
      </patternFill>
    </fill>
    <fill>
      <patternFill patternType="solid">
        <fgColor rgb="FFFFF2A8"/>
        <bgColor rgb="FFFFFFCC"/>
      </patternFill>
    </fill>
    <fill>
      <patternFill patternType="solid">
        <fgColor rgb="FFDCEBD6"/>
        <bgColor rgb="FFE9D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D6"/>
      <rgbColor rgb="FFFFF2A8"/>
      <rgbColor rgb="FF99CCFF"/>
      <rgbColor rgb="FFFF99CC"/>
      <rgbColor rgb="FFCC99FF"/>
      <rgbColor rgb="FFE9DF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46"/>
    <col collapsed="false" customWidth="true" hidden="false" outlineLevel="0" max="5" min="4" style="0" width="8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0" hidden="false" customHeight="true" outlineLevel="0" collapsed="false">
      <c r="A5" s="4" t="s">
        <v>10</v>
      </c>
      <c r="B5" s="5" t="s">
        <v>11</v>
      </c>
      <c r="C5" s="5" t="s">
        <v>12</v>
      </c>
      <c r="D5" s="6" t="n">
        <f aca="false">'Confronto travi'!I8</f>
        <v>5</v>
      </c>
      <c r="E5" s="4" t="s">
        <v>13</v>
      </c>
      <c r="F5" s="7" t="n">
        <f aca="false">'Confronto travi'!D8</f>
        <v>29.9</v>
      </c>
      <c r="G5" s="8" t="n">
        <f aca="false">D5*F5</f>
        <v>149.5</v>
      </c>
      <c r="H5" s="5" t="s">
        <v>14</v>
      </c>
    </row>
    <row r="6" customFormat="false" ht="30" hidden="false" customHeight="true" outlineLevel="0" collapsed="false">
      <c r="A6" s="4" t="s">
        <v>10</v>
      </c>
      <c r="B6" s="5" t="s">
        <v>15</v>
      </c>
      <c r="C6" s="5" t="s">
        <v>16</v>
      </c>
      <c r="D6" s="9" t="n">
        <v>1</v>
      </c>
      <c r="E6" s="4" t="s">
        <v>13</v>
      </c>
      <c r="F6" s="10" t="n">
        <v>79</v>
      </c>
      <c r="G6" s="8" t="n">
        <f aca="false">D6*F6</f>
        <v>79</v>
      </c>
      <c r="H6" s="5" t="s">
        <v>14</v>
      </c>
    </row>
    <row r="7" customFormat="false" ht="30" hidden="false" customHeight="true" outlineLevel="0" collapsed="false">
      <c r="A7" s="4" t="s">
        <v>10</v>
      </c>
      <c r="B7" s="5" t="s">
        <v>17</v>
      </c>
      <c r="C7" s="5" t="s">
        <v>18</v>
      </c>
      <c r="D7" s="9" t="n">
        <v>1</v>
      </c>
      <c r="E7" s="4" t="s">
        <v>13</v>
      </c>
      <c r="F7" s="10" t="n">
        <v>31.49</v>
      </c>
      <c r="G7" s="8" t="n">
        <f aca="false">D7*F7</f>
        <v>31.49</v>
      </c>
      <c r="H7" s="5" t="s">
        <v>19</v>
      </c>
    </row>
    <row r="8" customFormat="false" ht="30" hidden="false" customHeight="true" outlineLevel="0" collapsed="false">
      <c r="A8" s="4" t="s">
        <v>10</v>
      </c>
      <c r="B8" s="5" t="s">
        <v>20</v>
      </c>
      <c r="C8" s="5" t="s">
        <v>21</v>
      </c>
      <c r="D8" s="9" t="n">
        <v>2</v>
      </c>
      <c r="E8" s="4" t="s">
        <v>13</v>
      </c>
      <c r="F8" s="11" t="n">
        <v>5</v>
      </c>
      <c r="G8" s="8" t="n">
        <f aca="false">D8*F8</f>
        <v>10</v>
      </c>
      <c r="H8" s="5" t="s">
        <v>22</v>
      </c>
    </row>
    <row r="9" customFormat="false" ht="30" hidden="false" customHeight="true" outlineLevel="0" collapsed="false">
      <c r="A9" s="4" t="s">
        <v>23</v>
      </c>
      <c r="B9" s="5" t="s">
        <v>24</v>
      </c>
      <c r="C9" s="5" t="s">
        <v>25</v>
      </c>
      <c r="D9" s="9" t="n">
        <v>16</v>
      </c>
      <c r="E9" s="4" t="s">
        <v>13</v>
      </c>
      <c r="F9" s="11" t="n">
        <v>1.2</v>
      </c>
      <c r="G9" s="8" t="n">
        <f aca="false">D9*F9</f>
        <v>19.2</v>
      </c>
      <c r="H9" s="5" t="s">
        <v>22</v>
      </c>
    </row>
    <row r="10" customFormat="false" ht="30" hidden="false" customHeight="true" outlineLevel="0" collapsed="false">
      <c r="A10" s="4" t="s">
        <v>23</v>
      </c>
      <c r="B10" s="5" t="s">
        <v>26</v>
      </c>
      <c r="C10" s="5" t="s">
        <v>27</v>
      </c>
      <c r="D10" s="9" t="n">
        <v>10</v>
      </c>
      <c r="E10" s="4" t="s">
        <v>13</v>
      </c>
      <c r="F10" s="11" t="n">
        <v>1</v>
      </c>
      <c r="G10" s="8" t="n">
        <f aca="false">D10*F10</f>
        <v>10</v>
      </c>
      <c r="H10" s="5" t="s">
        <v>22</v>
      </c>
    </row>
    <row r="11" customFormat="false" ht="30" hidden="false" customHeight="true" outlineLevel="0" collapsed="false">
      <c r="A11" s="4" t="s">
        <v>23</v>
      </c>
      <c r="B11" s="5" t="s">
        <v>28</v>
      </c>
      <c r="C11" s="5" t="s">
        <v>29</v>
      </c>
      <c r="D11" s="9" t="n">
        <v>38</v>
      </c>
      <c r="E11" s="4" t="s">
        <v>13</v>
      </c>
      <c r="F11" s="11" t="n">
        <v>0.8</v>
      </c>
      <c r="G11" s="8" t="n">
        <f aca="false">D11*F11</f>
        <v>30.4</v>
      </c>
      <c r="H11" s="5" t="s">
        <v>22</v>
      </c>
    </row>
    <row r="12" customFormat="false" ht="30" hidden="false" customHeight="true" outlineLevel="0" collapsed="false">
      <c r="A12" s="4" t="s">
        <v>23</v>
      </c>
      <c r="B12" s="5" t="s">
        <v>30</v>
      </c>
      <c r="C12" s="5" t="s">
        <v>31</v>
      </c>
      <c r="D12" s="9" t="n">
        <v>1</v>
      </c>
      <c r="E12" s="4" t="s">
        <v>13</v>
      </c>
      <c r="F12" s="11" t="n">
        <v>3.5</v>
      </c>
      <c r="G12" s="8" t="n">
        <f aca="false">D12*F12</f>
        <v>3.5</v>
      </c>
      <c r="H12" s="5" t="s">
        <v>22</v>
      </c>
    </row>
    <row r="13" customFormat="false" ht="30" hidden="false" customHeight="true" outlineLevel="0" collapsed="false">
      <c r="A13" s="4" t="s">
        <v>23</v>
      </c>
      <c r="B13" s="5" t="s">
        <v>32</v>
      </c>
      <c r="C13" s="5" t="s">
        <v>33</v>
      </c>
      <c r="D13" s="9" t="n">
        <v>1</v>
      </c>
      <c r="E13" s="4" t="s">
        <v>34</v>
      </c>
      <c r="F13" s="11" t="n">
        <v>6</v>
      </c>
      <c r="G13" s="8" t="n">
        <f aca="false">D13*F13</f>
        <v>6</v>
      </c>
      <c r="H13" s="5" t="s">
        <v>22</v>
      </c>
    </row>
    <row r="14" customFormat="false" ht="30" hidden="false" customHeight="true" outlineLevel="0" collapsed="false">
      <c r="A14" s="4" t="s">
        <v>23</v>
      </c>
      <c r="B14" s="5" t="s">
        <v>35</v>
      </c>
      <c r="C14" s="5" t="s">
        <v>36</v>
      </c>
      <c r="D14" s="9" t="n">
        <v>1</v>
      </c>
      <c r="E14" s="4" t="s">
        <v>13</v>
      </c>
      <c r="F14" s="11" t="n">
        <v>9</v>
      </c>
      <c r="G14" s="8" t="n">
        <f aca="false">D14*F14</f>
        <v>9</v>
      </c>
      <c r="H14" s="5" t="s">
        <v>22</v>
      </c>
    </row>
    <row r="15" customFormat="false" ht="30" hidden="false" customHeight="true" outlineLevel="0" collapsed="false">
      <c r="A15" s="4" t="s">
        <v>23</v>
      </c>
      <c r="B15" s="5" t="s">
        <v>37</v>
      </c>
      <c r="C15" s="5" t="s">
        <v>38</v>
      </c>
      <c r="D15" s="9" t="n">
        <v>8</v>
      </c>
      <c r="E15" s="4" t="s">
        <v>13</v>
      </c>
      <c r="F15" s="11" t="n">
        <v>3</v>
      </c>
      <c r="G15" s="8" t="n">
        <f aca="false">D15*F15</f>
        <v>24</v>
      </c>
      <c r="H15" s="5" t="s">
        <v>22</v>
      </c>
    </row>
    <row r="16" customFormat="false" ht="30" hidden="false" customHeight="true" outlineLevel="0" collapsed="false">
      <c r="A16" s="4" t="s">
        <v>23</v>
      </c>
      <c r="B16" s="5" t="s">
        <v>39</v>
      </c>
      <c r="C16" s="5" t="s">
        <v>40</v>
      </c>
      <c r="D16" s="9" t="n">
        <v>16</v>
      </c>
      <c r="E16" s="4" t="s">
        <v>13</v>
      </c>
      <c r="F16" s="11" t="n">
        <v>0.6</v>
      </c>
      <c r="G16" s="8" t="n">
        <f aca="false">D16*F16</f>
        <v>9.6</v>
      </c>
      <c r="H16" s="5" t="s">
        <v>22</v>
      </c>
    </row>
    <row r="17" customFormat="false" ht="30" hidden="false" customHeight="true" outlineLevel="0" collapsed="false">
      <c r="A17" s="4" t="s">
        <v>23</v>
      </c>
      <c r="B17" s="5" t="s">
        <v>41</v>
      </c>
      <c r="C17" s="5" t="s">
        <v>42</v>
      </c>
      <c r="D17" s="9" t="n">
        <v>1</v>
      </c>
      <c r="E17" s="4" t="s">
        <v>43</v>
      </c>
      <c r="F17" s="11" t="n">
        <v>15</v>
      </c>
      <c r="G17" s="8" t="n">
        <f aca="false">D17*F17</f>
        <v>15</v>
      </c>
      <c r="H17" s="5" t="s">
        <v>22</v>
      </c>
    </row>
    <row r="18" customFormat="false" ht="30" hidden="false" customHeight="true" outlineLevel="0" collapsed="false">
      <c r="A18" s="4" t="s">
        <v>23</v>
      </c>
      <c r="B18" s="5" t="s">
        <v>44</v>
      </c>
      <c r="C18" s="5" t="s">
        <v>45</v>
      </c>
      <c r="D18" s="9" t="n">
        <v>4</v>
      </c>
      <c r="E18" s="4" t="s">
        <v>13</v>
      </c>
      <c r="F18" s="11" t="n">
        <v>4</v>
      </c>
      <c r="G18" s="8" t="n">
        <f aca="false">D18*F18</f>
        <v>16</v>
      </c>
      <c r="H18" s="5" t="s">
        <v>22</v>
      </c>
    </row>
    <row r="19" customFormat="false" ht="30" hidden="false" customHeight="true" outlineLevel="0" collapsed="false">
      <c r="A19" s="4" t="s">
        <v>46</v>
      </c>
      <c r="B19" s="5" t="s">
        <v>47</v>
      </c>
      <c r="C19" s="5" t="s">
        <v>48</v>
      </c>
      <c r="D19" s="9" t="n">
        <v>1</v>
      </c>
      <c r="E19" s="4" t="s">
        <v>49</v>
      </c>
      <c r="F19" s="11" t="n">
        <v>90</v>
      </c>
      <c r="G19" s="8" t="n">
        <f aca="false">D19*F19</f>
        <v>90</v>
      </c>
      <c r="H19" s="5" t="s">
        <v>22</v>
      </c>
    </row>
    <row r="20" customFormat="false" ht="30" hidden="false" customHeight="true" outlineLevel="0" collapsed="false">
      <c r="A20" s="4" t="s">
        <v>46</v>
      </c>
      <c r="B20" s="5" t="s">
        <v>50</v>
      </c>
      <c r="C20" s="5" t="s">
        <v>51</v>
      </c>
      <c r="D20" s="9" t="n">
        <v>2</v>
      </c>
      <c r="E20" s="4" t="s">
        <v>43</v>
      </c>
      <c r="F20" s="11" t="n">
        <v>1.5</v>
      </c>
      <c r="G20" s="8" t="n">
        <f aca="false">D20*F20</f>
        <v>3</v>
      </c>
      <c r="H20" s="5" t="s">
        <v>22</v>
      </c>
    </row>
    <row r="21" customFormat="false" ht="30" hidden="false" customHeight="true" outlineLevel="0" collapsed="false">
      <c r="A21" s="4" t="s">
        <v>46</v>
      </c>
      <c r="B21" s="5" t="s">
        <v>52</v>
      </c>
      <c r="C21" s="5" t="s">
        <v>53</v>
      </c>
      <c r="D21" s="9" t="n">
        <v>2</v>
      </c>
      <c r="E21" s="4" t="s">
        <v>43</v>
      </c>
      <c r="F21" s="11" t="n">
        <v>2</v>
      </c>
      <c r="G21" s="8" t="n">
        <f aca="false">D21*F21</f>
        <v>4</v>
      </c>
      <c r="H21" s="5" t="s">
        <v>22</v>
      </c>
    </row>
    <row r="22" customFormat="false" ht="30" hidden="false" customHeight="true" outlineLevel="0" collapsed="false">
      <c r="A22" s="4" t="s">
        <v>46</v>
      </c>
      <c r="B22" s="5" t="s">
        <v>54</v>
      </c>
      <c r="C22" s="5" t="s">
        <v>55</v>
      </c>
      <c r="D22" s="9" t="n">
        <v>1</v>
      </c>
      <c r="E22" s="4" t="s">
        <v>56</v>
      </c>
      <c r="F22" s="11" t="n">
        <v>10</v>
      </c>
      <c r="G22" s="8" t="n">
        <f aca="false">D22*F22</f>
        <v>10</v>
      </c>
      <c r="H22" s="5" t="s">
        <v>22</v>
      </c>
    </row>
    <row r="23" customFormat="false" ht="30" hidden="false" customHeight="true" outlineLevel="0" collapsed="false">
      <c r="A23" s="4" t="s">
        <v>57</v>
      </c>
      <c r="B23" s="5" t="s">
        <v>58</v>
      </c>
      <c r="C23" s="5" t="s">
        <v>59</v>
      </c>
      <c r="D23" s="9" t="n">
        <v>3</v>
      </c>
      <c r="E23" s="4" t="s">
        <v>13</v>
      </c>
      <c r="F23" s="11" t="n">
        <v>15</v>
      </c>
      <c r="G23" s="8" t="n">
        <f aca="false">D23*F23</f>
        <v>45</v>
      </c>
      <c r="H23" s="5" t="s">
        <v>22</v>
      </c>
    </row>
    <row r="24" customFormat="false" ht="30" hidden="false" customHeight="true" outlineLevel="0" collapsed="false">
      <c r="A24" s="4" t="s">
        <v>57</v>
      </c>
      <c r="B24" s="5" t="s">
        <v>60</v>
      </c>
      <c r="C24" s="5" t="s">
        <v>61</v>
      </c>
      <c r="D24" s="9" t="n">
        <v>2</v>
      </c>
      <c r="E24" s="4" t="s">
        <v>13</v>
      </c>
      <c r="F24" s="11" t="n">
        <v>4</v>
      </c>
      <c r="G24" s="8" t="n">
        <f aca="false">D24*F24</f>
        <v>8</v>
      </c>
      <c r="H24" s="5" t="s">
        <v>22</v>
      </c>
    </row>
    <row r="25" customFormat="false" ht="30" hidden="false" customHeight="true" outlineLevel="0" collapsed="false">
      <c r="A25" s="4" t="s">
        <v>57</v>
      </c>
      <c r="B25" s="5" t="s">
        <v>62</v>
      </c>
      <c r="C25" s="5" t="s">
        <v>63</v>
      </c>
      <c r="D25" s="9" t="n">
        <v>1</v>
      </c>
      <c r="E25" s="4" t="s">
        <v>13</v>
      </c>
      <c r="F25" s="11" t="n">
        <v>20</v>
      </c>
      <c r="G25" s="8" t="n">
        <f aca="false">D25*F25</f>
        <v>20</v>
      </c>
      <c r="H25" s="5" t="s">
        <v>22</v>
      </c>
    </row>
    <row r="26" customFormat="false" ht="30" hidden="false" customHeight="true" outlineLevel="0" collapsed="false">
      <c r="A26" s="4" t="s">
        <v>64</v>
      </c>
      <c r="B26" s="5" t="s">
        <v>65</v>
      </c>
      <c r="C26" s="5" t="s">
        <v>66</v>
      </c>
      <c r="D26" s="9" t="n">
        <v>1</v>
      </c>
      <c r="E26" s="4" t="s">
        <v>43</v>
      </c>
      <c r="F26" s="11" t="n">
        <v>30</v>
      </c>
      <c r="G26" s="8" t="n">
        <f aca="false">D26*F26</f>
        <v>30</v>
      </c>
      <c r="H26" s="5" t="s">
        <v>22</v>
      </c>
    </row>
    <row r="28" customFormat="false" ht="15" hidden="false" customHeight="false" outlineLevel="0" collapsed="false">
      <c r="F28" s="12" t="s">
        <v>67</v>
      </c>
      <c r="G28" s="8" t="n">
        <f aca="false">SUMIFS(G5:G26,H5:H26,"fornito da te")+SUMIFS(G5:G26,H5:H26,"OBI, verificato 18/10/2026")</f>
        <v>259.99</v>
      </c>
    </row>
    <row r="29" customFormat="false" ht="15" hidden="false" customHeight="false" outlineLevel="0" collapsed="false">
      <c r="F29" s="12" t="s">
        <v>68</v>
      </c>
      <c r="G29" s="8" t="n">
        <f aca="false">SUMIFS(G5:G26,H5:H26,"stima – da verificare")</f>
        <v>362.7</v>
      </c>
    </row>
    <row r="30" customFormat="false" ht="15" hidden="false" customHeight="false" outlineLevel="0" collapsed="false">
      <c r="F30" s="13" t="s">
        <v>69</v>
      </c>
      <c r="G30" s="14" t="n">
        <f aca="false">SUM(G5:G26)</f>
        <v>622.69</v>
      </c>
    </row>
    <row r="32" customFormat="false" ht="15" hidden="false" customHeight="false" outlineLevel="0" collapsed="false">
      <c r="F32" s="12" t="s">
        <v>70</v>
      </c>
      <c r="G32" s="8" t="n">
        <f aca="false">SUMIFS(G5:G26,A5:A26,"Legno")</f>
        <v>269.99</v>
      </c>
    </row>
    <row r="33" customFormat="false" ht="15" hidden="false" customHeight="false" outlineLevel="0" collapsed="false">
      <c r="F33" s="12" t="s">
        <v>71</v>
      </c>
      <c r="G33" s="8" t="n">
        <f aca="false">SUMIFS(G5:G26,A5:A26,"Ferramenta telaio")</f>
        <v>142.7</v>
      </c>
    </row>
    <row r="34" customFormat="false" ht="15" hidden="false" customHeight="false" outlineLevel="0" collapsed="false">
      <c r="F34" s="12" t="s">
        <v>72</v>
      </c>
      <c r="G34" s="8" t="n">
        <f aca="false">SUMIFS(G5:G26,A5:A26,"Zona ricarica")</f>
        <v>107</v>
      </c>
    </row>
    <row r="35" customFormat="false" ht="15" hidden="false" customHeight="false" outlineLevel="0" collapsed="false">
      <c r="F35" s="12" t="s">
        <v>73</v>
      </c>
      <c r="G35" s="8" t="n">
        <f aca="false">SUMIFS(G5:G26,A5:A26,"Elettrico")</f>
        <v>73</v>
      </c>
    </row>
    <row r="36" customFormat="false" ht="15" hidden="false" customHeight="false" outlineLevel="0" collapsed="false">
      <c r="F36" s="12" t="s">
        <v>74</v>
      </c>
      <c r="G36" s="8" t="n">
        <f aca="false">SUMIFS(G5:G26,A5:A26,"Finitura")</f>
        <v>30</v>
      </c>
    </row>
    <row r="38" customFormat="false" ht="15" hidden="false" customHeight="false" outlineLevel="0" collapsed="false">
      <c r="A38" s="2" t="s">
        <v>75</v>
      </c>
    </row>
    <row r="39" customFormat="false" ht="15" hidden="false" customHeight="false" outlineLevel="0" collapsed="false">
      <c r="A39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77</v>
      </c>
    </row>
    <row r="4" customFormat="false" ht="39.55" hidden="false" customHeight="false" outlineLevel="0" collapsed="false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/>
      <c r="I4" s="3" t="s">
        <v>85</v>
      </c>
      <c r="J4" s="3" t="s">
        <v>86</v>
      </c>
    </row>
    <row r="5" customFormat="false" ht="15" hidden="false" customHeight="false" outlineLevel="0" collapsed="false">
      <c r="A5" s="4" t="s">
        <v>87</v>
      </c>
      <c r="B5" s="4" t="s">
        <v>88</v>
      </c>
      <c r="C5" s="15" t="n">
        <v>6</v>
      </c>
      <c r="D5" s="10" t="n">
        <v>83.5</v>
      </c>
      <c r="E5" s="16" t="n">
        <f aca="false">D5/C5</f>
        <v>13.9166666666667</v>
      </c>
      <c r="F5" s="17" t="n">
        <v>15.26</v>
      </c>
      <c r="G5" s="15" t="n">
        <v>5.1</v>
      </c>
      <c r="I5" s="9" t="n">
        <v>3</v>
      </c>
      <c r="J5" s="8" t="n">
        <f aca="false">I5*D5</f>
        <v>250.5</v>
      </c>
    </row>
    <row r="6" customFormat="false" ht="15" hidden="false" customHeight="false" outlineLevel="0" collapsed="false">
      <c r="A6" s="4" t="s">
        <v>89</v>
      </c>
      <c r="B6" s="4" t="s">
        <v>88</v>
      </c>
      <c r="C6" s="15" t="n">
        <v>4</v>
      </c>
      <c r="D6" s="10" t="n">
        <v>55.9</v>
      </c>
      <c r="E6" s="16" t="n">
        <f aca="false">D6/C6</f>
        <v>13.975</v>
      </c>
      <c r="F6" s="17" t="n">
        <v>15.26</v>
      </c>
      <c r="G6" s="15" t="n">
        <v>5.1</v>
      </c>
      <c r="I6" s="9" t="n">
        <v>4</v>
      </c>
      <c r="J6" s="8" t="n">
        <f aca="false">I6*D6</f>
        <v>223.6</v>
      </c>
    </row>
    <row r="7" customFormat="false" ht="15" hidden="false" customHeight="false" outlineLevel="0" collapsed="false">
      <c r="A7" s="4" t="s">
        <v>90</v>
      </c>
      <c r="B7" s="4" t="s">
        <v>91</v>
      </c>
      <c r="C7" s="15" t="n">
        <v>4</v>
      </c>
      <c r="D7" s="10" t="n">
        <v>31.9</v>
      </c>
      <c r="E7" s="16" t="n">
        <f aca="false">D7/C7</f>
        <v>7.975</v>
      </c>
      <c r="F7" s="17" t="n">
        <v>16.22</v>
      </c>
      <c r="G7" s="15" t="n">
        <v>1.6</v>
      </c>
      <c r="I7" s="9" t="n">
        <v>5</v>
      </c>
      <c r="J7" s="8" t="n">
        <f aca="false">I7*D7</f>
        <v>159.5</v>
      </c>
    </row>
    <row r="8" customFormat="false" ht="15" hidden="false" customHeight="false" outlineLevel="0" collapsed="false">
      <c r="A8" s="18" t="s">
        <v>92</v>
      </c>
      <c r="B8" s="19" t="s">
        <v>93</v>
      </c>
      <c r="C8" s="20" t="n">
        <v>4</v>
      </c>
      <c r="D8" s="21" t="n">
        <v>29.9</v>
      </c>
      <c r="E8" s="22" t="n">
        <f aca="false">D8/C8</f>
        <v>7.475</v>
      </c>
      <c r="F8" s="23" t="n">
        <v>15.9</v>
      </c>
      <c r="G8" s="20" t="n">
        <v>3.4</v>
      </c>
      <c r="H8" s="24"/>
      <c r="I8" s="25" t="n">
        <v>5</v>
      </c>
      <c r="J8" s="26" t="n">
        <f aca="false">I8*D8</f>
        <v>149.5</v>
      </c>
    </row>
    <row r="9" customFormat="false" ht="15" hidden="false" customHeight="false" outlineLevel="0" collapsed="false">
      <c r="A9" s="4" t="s">
        <v>94</v>
      </c>
      <c r="B9" s="4" t="s">
        <v>95</v>
      </c>
      <c r="C9" s="15" t="n">
        <v>4</v>
      </c>
      <c r="D9" s="10" t="n">
        <v>39.9</v>
      </c>
      <c r="E9" s="16" t="n">
        <f aca="false">D9/C9</f>
        <v>9.975</v>
      </c>
      <c r="F9" s="17" t="n">
        <v>15.58</v>
      </c>
      <c r="G9" s="15" t="n">
        <v>4.2</v>
      </c>
      <c r="I9" s="9" t="n">
        <v>4</v>
      </c>
      <c r="J9" s="8" t="n">
        <f aca="false">I9*D9</f>
        <v>159.6</v>
      </c>
    </row>
    <row r="11" customFormat="false" ht="15" hidden="false" customHeight="false" outlineLevel="0" collapsed="false">
      <c r="A11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26.85" hidden="false" customHeight="false" outlineLevel="0" collapsed="false">
      <c r="A4" s="3" t="s">
        <v>99</v>
      </c>
      <c r="B4" s="3" t="s">
        <v>100</v>
      </c>
      <c r="C4" s="3" t="s">
        <v>101</v>
      </c>
      <c r="D4" s="3" t="s">
        <v>102</v>
      </c>
      <c r="E4" s="3" t="s">
        <v>7</v>
      </c>
      <c r="F4" s="3" t="s">
        <v>103</v>
      </c>
      <c r="G4" s="3" t="s">
        <v>104</v>
      </c>
      <c r="H4" s="3" t="s">
        <v>105</v>
      </c>
    </row>
    <row r="5" customFormat="false" ht="45" hidden="false" customHeight="true" outlineLevel="0" collapsed="false">
      <c r="A5" s="18" t="s">
        <v>106</v>
      </c>
      <c r="B5" s="19" t="s">
        <v>107</v>
      </c>
      <c r="C5" s="19" t="s">
        <v>108</v>
      </c>
      <c r="D5" s="25" t="n">
        <v>1</v>
      </c>
      <c r="E5" s="21" t="n">
        <v>31.49</v>
      </c>
      <c r="F5" s="26" t="n">
        <f aca="false">D5*E5</f>
        <v>31.49</v>
      </c>
      <c r="G5" s="27" t="s">
        <v>19</v>
      </c>
      <c r="H5" s="27" t="s">
        <v>109</v>
      </c>
    </row>
    <row r="6" customFormat="false" ht="45" hidden="false" customHeight="true" outlineLevel="0" collapsed="false">
      <c r="A6" s="4" t="s">
        <v>110</v>
      </c>
      <c r="B6" s="4" t="s">
        <v>111</v>
      </c>
      <c r="C6" s="4" t="s">
        <v>112</v>
      </c>
      <c r="D6" s="9" t="n">
        <v>1</v>
      </c>
      <c r="E6" s="10" t="n">
        <v>79</v>
      </c>
      <c r="F6" s="8" t="n">
        <f aca="false">D6*E6</f>
        <v>79</v>
      </c>
      <c r="G6" s="5" t="s">
        <v>14</v>
      </c>
      <c r="H6" s="5" t="s">
        <v>113</v>
      </c>
    </row>
    <row r="7" customFormat="false" ht="45" hidden="false" customHeight="true" outlineLevel="0" collapsed="false">
      <c r="A7" s="4" t="s">
        <v>114</v>
      </c>
      <c r="B7" s="4" t="s">
        <v>115</v>
      </c>
      <c r="C7" s="4" t="s">
        <v>116</v>
      </c>
      <c r="D7" s="9" t="n">
        <v>14</v>
      </c>
      <c r="E7" s="10" t="n">
        <v>8.19</v>
      </c>
      <c r="F7" s="8" t="n">
        <f aca="false">D7*E7</f>
        <v>114.66</v>
      </c>
      <c r="G7" s="5" t="s">
        <v>19</v>
      </c>
      <c r="H7" s="5" t="s">
        <v>117</v>
      </c>
    </row>
    <row r="9" customFormat="false" ht="15" hidden="false" customHeight="false" outlineLevel="0" collapsed="false">
      <c r="A9" s="2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" t="s">
        <v>119</v>
      </c>
    </row>
    <row r="3" customFormat="false" ht="26.85" hidden="false" customHeight="false" outlineLevel="0" collapsed="false">
      <c r="A3" s="3" t="s">
        <v>120</v>
      </c>
      <c r="B3" s="3" t="s">
        <v>121</v>
      </c>
      <c r="C3" s="3" t="s">
        <v>122</v>
      </c>
      <c r="D3" s="3" t="s">
        <v>123</v>
      </c>
    </row>
    <row r="4" customFormat="false" ht="15" hidden="false" customHeight="false" outlineLevel="0" collapsed="false">
      <c r="A4" s="4" t="s">
        <v>124</v>
      </c>
      <c r="B4" s="4" t="s">
        <v>125</v>
      </c>
      <c r="C4" s="28" t="n">
        <v>3694</v>
      </c>
      <c r="D4" s="29" t="n">
        <f aca="false">4000-C4</f>
        <v>306</v>
      </c>
    </row>
    <row r="5" customFormat="false" ht="15" hidden="false" customHeight="false" outlineLevel="0" collapsed="false">
      <c r="A5" s="4" t="s">
        <v>126</v>
      </c>
      <c r="B5" s="4" t="s">
        <v>127</v>
      </c>
      <c r="C5" s="28" t="n">
        <v>3614</v>
      </c>
      <c r="D5" s="29" t="n">
        <f aca="false">4000-C5</f>
        <v>386</v>
      </c>
    </row>
    <row r="6" customFormat="false" ht="15" hidden="false" customHeight="false" outlineLevel="0" collapsed="false">
      <c r="A6" s="4" t="s">
        <v>128</v>
      </c>
      <c r="B6" s="4" t="s">
        <v>129</v>
      </c>
      <c r="C6" s="28" t="n">
        <v>3654</v>
      </c>
      <c r="D6" s="29" t="n">
        <f aca="false">4000-C6</f>
        <v>346</v>
      </c>
    </row>
    <row r="7" customFormat="false" ht="15" hidden="false" customHeight="false" outlineLevel="0" collapsed="false">
      <c r="A7" s="4" t="s">
        <v>130</v>
      </c>
      <c r="B7" s="4" t="s">
        <v>131</v>
      </c>
      <c r="C7" s="28" t="n">
        <v>1418</v>
      </c>
      <c r="D7" s="29" t="n">
        <f aca="false">4000-C7</f>
        <v>2582</v>
      </c>
    </row>
    <row r="8" customFormat="false" ht="15" hidden="false" customHeight="false" outlineLevel="0" collapsed="false">
      <c r="A8" s="4" t="s">
        <v>132</v>
      </c>
      <c r="B8" s="4" t="s">
        <v>133</v>
      </c>
      <c r="C8" s="28" t="n">
        <v>3686</v>
      </c>
      <c r="D8" s="29" t="n">
        <f aca="false">4000-C8</f>
        <v>314</v>
      </c>
    </row>
    <row r="9" customFormat="false" ht="15" hidden="false" customHeight="false" outlineLevel="0" collapsed="false">
      <c r="A9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2026-10-18T08:53:25Z</dcterms:created>
  <dc:creator>openpyxl</dc:creator>
  <dc:description/>
  <dc:language>en-US</dc:language>
  <cp:lastModifiedBy/>
  <dcterms:modified xsi:type="dcterms:W3CDTF">2026-10-18T08:53:26Z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