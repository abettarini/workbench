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stinta costi" sheetId="1" state="visible" r:id="rId3"/>
    <sheet name="Taglio pannelli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<sst xmlns="http://schemas.openxmlformats.org/spreadsheetml/2006/main" count="110" uniqueCount="72">
  <si>
    <t xml:space="preserve">Modulo 2 – Cassettiera: distinta e costi</t>
  </si>
  <si>
    <t xml:space="preserve">Cassettiera fissa per la campata sinistra (3 cassetti) + cassetto appeso sotto il piano. Celle gialle = stime.</t>
  </si>
  <si>
    <t xml:space="preserve">Categoria</t>
  </si>
  <si>
    <t xml:space="preserve">Articolo</t>
  </si>
  <si>
    <t xml:space="preserve">Uso</t>
  </si>
  <si>
    <t xml:space="preserve">Q.tà</t>
  </si>
  <si>
    <t xml:space="preserve">Unità</t>
  </si>
  <si>
    <t xml:space="preserve">Prezzo unitario</t>
  </si>
  <si>
    <t xml:space="preserve">Totale</t>
  </si>
  <si>
    <t xml:space="preserve">Fonte prezzo</t>
  </si>
  <si>
    <t xml:space="preserve">Legno</t>
  </si>
  <si>
    <t xml:space="preserve">Multistrato pioppo 18 mm, mezzo pannello 1250×1250</t>
  </si>
  <si>
    <t xml:space="preserve">scatola, frontali (taglio a pag. 'Taglio pannelli')</t>
  </si>
  <si>
    <t xml:space="preserve">pz</t>
  </si>
  <si>
    <t xml:space="preserve">stima – da verificare</t>
  </si>
  <si>
    <t xml:space="preserve">Multistrato pioppo 15 mm, mezzo pannello 1250×1250</t>
  </si>
  <si>
    <t xml:space="preserve">scatole dei 4 cassetti</t>
  </si>
  <si>
    <t xml:space="preserve">HDF 4 mm, pannello 2500×1250</t>
  </si>
  <si>
    <t xml:space="preserve">fondi cassetti e schienale</t>
  </si>
  <si>
    <t xml:space="preserve">Ferramenta</t>
  </si>
  <si>
    <t xml:space="preserve">Guide a sfera estrazione totale 500 mm (coppia)</t>
  </si>
  <si>
    <t xml:space="preserve">3 cassettiera + 1 appeso</t>
  </si>
  <si>
    <t xml:space="preserve">cp</t>
  </si>
  <si>
    <t xml:space="preserve">Maniglie</t>
  </si>
  <si>
    <t xml:space="preserve">Viti 4×45 (conf.)</t>
  </si>
  <si>
    <t xml:space="preserve">scatola cassettiera</t>
  </si>
  <si>
    <t xml:space="preserve">conf</t>
  </si>
  <si>
    <t xml:space="preserve">Viti 3,5×30, 3,5×25, 3×16, 4×16, 4×30, 4×50 (assortimento)</t>
  </si>
  <si>
    <t xml:space="preserve">cassetti, frontali, guide, fissaggio al tavolo</t>
  </si>
  <si>
    <t xml:space="preserve">set</t>
  </si>
  <si>
    <t xml:space="preserve">Colla vinilica D3 (quota)</t>
  </si>
  <si>
    <t xml:space="preserve">giunti</t>
  </si>
  <si>
    <t xml:space="preserve">Finitura</t>
  </si>
  <si>
    <t xml:space="preserve">Vernice trasparente o olio 500 ml</t>
  </si>
  <si>
    <t xml:space="preserve">frontali e scatola</t>
  </si>
  <si>
    <t xml:space="preserve">Prezzi verificati</t>
  </si>
  <si>
    <t xml:space="preserve">Stime</t>
  </si>
  <si>
    <t xml:space="preserve">TOTALE</t>
  </si>
  <si>
    <t xml:space="preserve">di cui legno</t>
  </si>
  <si>
    <t xml:space="preserve">di cui ferramenta</t>
  </si>
  <si>
    <t xml:space="preserve">di cui finitura</t>
  </si>
  <si>
    <t xml:space="preserve">Alternativa economica: scatola della cassettiera in OSB 18 ricavata dall'avanzo del pannello del tavolo base (0 €).</t>
  </si>
  <si>
    <t xml:space="preserve">Molti negozi tagliano il multistrato a misura: porta il foglio 'Taglio pannelli'.</t>
  </si>
  <si>
    <t xml:space="preserve">Pezzi da tagliare</t>
  </si>
  <si>
    <t xml:space="preserve">Materiale</t>
  </si>
  <si>
    <t xml:space="preserve">Pezzo</t>
  </si>
  <si>
    <t xml:space="preserve">Lunghezza</t>
  </si>
  <si>
    <t xml:space="preserve">Larghezza</t>
  </si>
  <si>
    <t xml:space="preserve">multistrato 18</t>
  </si>
  <si>
    <t xml:space="preserve">Cassettiera fianco sx</t>
  </si>
  <si>
    <t xml:space="preserve">Cassettiera fianco dx</t>
  </si>
  <si>
    <t xml:space="preserve">Cassettiera cielo</t>
  </si>
  <si>
    <t xml:space="preserve">Cassettiera fondo</t>
  </si>
  <si>
    <t xml:space="preserve">Frontale cassetto 1</t>
  </si>
  <si>
    <t xml:space="preserve">Frontale cassetto 2</t>
  </si>
  <si>
    <t xml:space="preserve">Frontale cassetto 3</t>
  </si>
  <si>
    <t xml:space="preserve">Frontale cassetto appeso</t>
  </si>
  <si>
    <t xml:space="preserve">multistrato 15</t>
  </si>
  <si>
    <t xml:space="preserve">cassetto 1: fianco</t>
  </si>
  <si>
    <t xml:space="preserve">cassetto 1: testata</t>
  </si>
  <si>
    <t xml:space="preserve">cassetto 2: fianco</t>
  </si>
  <si>
    <t xml:space="preserve">cassetto 2: testata</t>
  </si>
  <si>
    <t xml:space="preserve">cassetto 3: fianco</t>
  </si>
  <si>
    <t xml:space="preserve">cassetto 3: testata</t>
  </si>
  <si>
    <t xml:space="preserve">appeso: fianco</t>
  </si>
  <si>
    <t xml:space="preserve">appeso: testata</t>
  </si>
  <si>
    <t xml:space="preserve">HDF 4</t>
  </si>
  <si>
    <t xml:space="preserve">Cassettiera schienale</t>
  </si>
  <si>
    <t xml:space="preserve">cassetto 1: fondo</t>
  </si>
  <si>
    <t xml:space="preserve">cassetto 2: fondo</t>
  </si>
  <si>
    <t xml:space="preserve">cassetto 3: fondo</t>
  </si>
  <si>
    <t xml:space="preserve">appeso: fondo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</si>
</sst>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#,##0.00&quot; €&quot;;\-#,##0.00&quot; €&quot;;\-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9DFCC"/>
        <bgColor rgb="FFFFF2A8"/>
      </patternFill>
    </fill>
    <fill>
      <patternFill patternType="solid">
        <fgColor rgb="FFFFF2A8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E9DF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46"/>
    <col collapsed="false" customWidth="true" hidden="false" outlineLevel="0" max="5" min="4" style="0" width="8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2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30" hidden="false" customHeight="true" outlineLevel="0" collapsed="false">
      <c r="A5" s="4" t="s">
        <v>10</v>
      </c>
      <c r="B5" s="5" t="s">
        <v>11</v>
      </c>
      <c r="C5" s="5" t="s">
        <v>12</v>
      </c>
      <c r="D5" s="6" t="n">
        <v>1</v>
      </c>
      <c r="E5" s="4" t="s">
        <v>13</v>
      </c>
      <c r="F5" s="7" t="n">
        <v>35</v>
      </c>
      <c r="G5" s="8" t="n">
        <f aca="false">D5*F5</f>
        <v>35</v>
      </c>
      <c r="H5" s="5" t="s">
        <v>14</v>
      </c>
    </row>
    <row r="6" customFormat="false" ht="30" hidden="false" customHeight="true" outlineLevel="0" collapsed="false">
      <c r="A6" s="4" t="s">
        <v>10</v>
      </c>
      <c r="B6" s="5" t="s">
        <v>15</v>
      </c>
      <c r="C6" s="5" t="s">
        <v>16</v>
      </c>
      <c r="D6" s="6" t="n">
        <v>1</v>
      </c>
      <c r="E6" s="4" t="s">
        <v>13</v>
      </c>
      <c r="F6" s="7" t="n">
        <v>30</v>
      </c>
      <c r="G6" s="8" t="n">
        <f aca="false">D6*F6</f>
        <v>30</v>
      </c>
      <c r="H6" s="5" t="s">
        <v>14</v>
      </c>
    </row>
    <row r="7" customFormat="false" ht="30" hidden="false" customHeight="true" outlineLevel="0" collapsed="false">
      <c r="A7" s="4" t="s">
        <v>10</v>
      </c>
      <c r="B7" s="5" t="s">
        <v>17</v>
      </c>
      <c r="C7" s="5" t="s">
        <v>18</v>
      </c>
      <c r="D7" s="6" t="n">
        <v>1</v>
      </c>
      <c r="E7" s="4" t="s">
        <v>13</v>
      </c>
      <c r="F7" s="7" t="n">
        <v>15</v>
      </c>
      <c r="G7" s="8" t="n">
        <f aca="false">D7*F7</f>
        <v>15</v>
      </c>
      <c r="H7" s="5" t="s">
        <v>14</v>
      </c>
    </row>
    <row r="8" customFormat="false" ht="30" hidden="false" customHeight="true" outlineLevel="0" collapsed="false">
      <c r="A8" s="4" t="s">
        <v>19</v>
      </c>
      <c r="B8" s="5" t="s">
        <v>20</v>
      </c>
      <c r="C8" s="5" t="s">
        <v>21</v>
      </c>
      <c r="D8" s="6" t="n">
        <v>4</v>
      </c>
      <c r="E8" s="4" t="s">
        <v>22</v>
      </c>
      <c r="F8" s="7" t="n">
        <v>12</v>
      </c>
      <c r="G8" s="8" t="n">
        <f aca="false">D8*F8</f>
        <v>48</v>
      </c>
      <c r="H8" s="5" t="s">
        <v>14</v>
      </c>
    </row>
    <row r="9" customFormat="false" ht="30" hidden="false" customHeight="true" outlineLevel="0" collapsed="false">
      <c r="A9" s="4" t="s">
        <v>19</v>
      </c>
      <c r="B9" s="5" t="s">
        <v>23</v>
      </c>
      <c r="C9" s="5"/>
      <c r="D9" s="6" t="n">
        <v>4</v>
      </c>
      <c r="E9" s="4" t="s">
        <v>13</v>
      </c>
      <c r="F9" s="7" t="n">
        <v>4</v>
      </c>
      <c r="G9" s="8" t="n">
        <f aca="false">D9*F9</f>
        <v>16</v>
      </c>
      <c r="H9" s="5" t="s">
        <v>14</v>
      </c>
    </row>
    <row r="10" customFormat="false" ht="30" hidden="false" customHeight="true" outlineLevel="0" collapsed="false">
      <c r="A10" s="4" t="s">
        <v>19</v>
      </c>
      <c r="B10" s="5" t="s">
        <v>24</v>
      </c>
      <c r="C10" s="5" t="s">
        <v>25</v>
      </c>
      <c r="D10" s="6" t="n">
        <v>1</v>
      </c>
      <c r="E10" s="4" t="s">
        <v>26</v>
      </c>
      <c r="F10" s="7" t="n">
        <v>4</v>
      </c>
      <c r="G10" s="8" t="n">
        <f aca="false">D10*F10</f>
        <v>4</v>
      </c>
      <c r="H10" s="5" t="s">
        <v>14</v>
      </c>
    </row>
    <row r="11" customFormat="false" ht="30" hidden="false" customHeight="true" outlineLevel="0" collapsed="false">
      <c r="A11" s="4" t="s">
        <v>19</v>
      </c>
      <c r="B11" s="5" t="s">
        <v>27</v>
      </c>
      <c r="C11" s="5" t="s">
        <v>28</v>
      </c>
      <c r="D11" s="6" t="n">
        <v>1</v>
      </c>
      <c r="E11" s="4" t="s">
        <v>29</v>
      </c>
      <c r="F11" s="7" t="n">
        <v>8</v>
      </c>
      <c r="G11" s="8" t="n">
        <f aca="false">D11*F11</f>
        <v>8</v>
      </c>
      <c r="H11" s="5" t="s">
        <v>14</v>
      </c>
    </row>
    <row r="12" customFormat="false" ht="30" hidden="false" customHeight="true" outlineLevel="0" collapsed="false">
      <c r="A12" s="4" t="s">
        <v>19</v>
      </c>
      <c r="B12" s="5" t="s">
        <v>30</v>
      </c>
      <c r="C12" s="5" t="s">
        <v>31</v>
      </c>
      <c r="D12" s="6" t="n">
        <v>1</v>
      </c>
      <c r="E12" s="4" t="s">
        <v>13</v>
      </c>
      <c r="F12" s="7" t="n">
        <v>4</v>
      </c>
      <c r="G12" s="8" t="n">
        <f aca="false">D12*F12</f>
        <v>4</v>
      </c>
      <c r="H12" s="5" t="s">
        <v>14</v>
      </c>
    </row>
    <row r="13" customFormat="false" ht="30" hidden="false" customHeight="true" outlineLevel="0" collapsed="false">
      <c r="A13" s="4" t="s">
        <v>32</v>
      </c>
      <c r="B13" s="5" t="s">
        <v>33</v>
      </c>
      <c r="C13" s="5" t="s">
        <v>34</v>
      </c>
      <c r="D13" s="6" t="n">
        <v>1</v>
      </c>
      <c r="E13" s="4" t="s">
        <v>13</v>
      </c>
      <c r="F13" s="7" t="n">
        <v>12</v>
      </c>
      <c r="G13" s="8" t="n">
        <f aca="false">D13*F13</f>
        <v>12</v>
      </c>
      <c r="H13" s="5" t="s">
        <v>14</v>
      </c>
    </row>
    <row r="15" customFormat="false" ht="15" hidden="false" customHeight="false" outlineLevel="0" collapsed="false">
      <c r="F15" s="9" t="s">
        <v>35</v>
      </c>
      <c r="G15" s="8" t="n">
        <f aca="false">SUMIFS(G5:G13,H5:H13,"fornito da te")+SUMIFS(G5:G13,H5:H13,"OBI, verificato 18/10/2026")</f>
        <v>0</v>
      </c>
    </row>
    <row r="16" customFormat="false" ht="15" hidden="false" customHeight="false" outlineLevel="0" collapsed="false">
      <c r="F16" s="9" t="s">
        <v>36</v>
      </c>
      <c r="G16" s="8" t="n">
        <f aca="false">SUMIFS(G5:G13,H5:H13,"stima – da verificare")</f>
        <v>172</v>
      </c>
    </row>
    <row r="17" customFormat="false" ht="15" hidden="false" customHeight="false" outlineLevel="0" collapsed="false">
      <c r="F17" s="10" t="s">
        <v>37</v>
      </c>
      <c r="G17" s="11" t="n">
        <f aca="false">SUM(G5:G13)</f>
        <v>172</v>
      </c>
    </row>
    <row r="19" customFormat="false" ht="15" hidden="false" customHeight="false" outlineLevel="0" collapsed="false">
      <c r="F19" s="9" t="s">
        <v>38</v>
      </c>
      <c r="G19" s="8" t="n">
        <f aca="false">SUMIFS(G5:G13,A5:A13,"Legno")</f>
        <v>80</v>
      </c>
    </row>
    <row r="20" customFormat="false" ht="15" hidden="false" customHeight="false" outlineLevel="0" collapsed="false">
      <c r="F20" s="9" t="s">
        <v>39</v>
      </c>
      <c r="G20" s="8" t="n">
        <f aca="false">SUMIFS(G5:G13,A5:A13,"Ferramenta")</f>
        <v>80</v>
      </c>
    </row>
    <row r="21" customFormat="false" ht="15" hidden="false" customHeight="false" outlineLevel="0" collapsed="false">
      <c r="F21" s="9" t="s">
        <v>40</v>
      </c>
      <c r="G21" s="8" t="n">
        <f aca="false">SUMIFS(G5:G13,A5:A13,"Finitura")</f>
        <v>12</v>
      </c>
    </row>
    <row r="23" customFormat="false" ht="15" hidden="false" customHeight="false" outlineLevel="0" collapsed="false">
      <c r="A23" s="2" t="s">
        <v>41</v>
      </c>
    </row>
    <row r="24" customFormat="false" ht="15" hidden="false" customHeight="false" outlineLevel="0" collapsed="false">
      <c r="A24" s="2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4"/>
    <col collapsed="false" customWidth="true" hidden="false" outlineLevel="0" max="4" min="3" style="0" width="12"/>
    <col collapsed="false" customWidth="true" hidden="false" outlineLevel="0" max="5" min="5" style="0" width="8"/>
  </cols>
  <sheetData>
    <row r="1" customFormat="false" ht="17.35" hidden="false" customHeight="false" outlineLevel="0" collapsed="false">
      <c r="A1" s="1" t="s">
        <v>43</v>
      </c>
    </row>
    <row r="3" customFormat="false" ht="15" hidden="false" customHeight="false" outlineLevel="0" collapsed="false">
      <c r="A3" s="3" t="s">
        <v>44</v>
      </c>
      <c r="B3" s="3" t="s">
        <v>45</v>
      </c>
      <c r="C3" s="3" t="s">
        <v>46</v>
      </c>
      <c r="D3" s="3" t="s">
        <v>47</v>
      </c>
      <c r="E3" s="3" t="s">
        <v>5</v>
      </c>
    </row>
    <row r="4" customFormat="false" ht="15" hidden="false" customHeight="false" outlineLevel="0" collapsed="false">
      <c r="A4" s="4" t="s">
        <v>48</v>
      </c>
      <c r="B4" s="4" t="s">
        <v>49</v>
      </c>
      <c r="C4" s="6" t="n">
        <v>582</v>
      </c>
      <c r="D4" s="6" t="n">
        <v>400</v>
      </c>
      <c r="E4" s="6" t="n">
        <v>1</v>
      </c>
    </row>
    <row r="5" customFormat="false" ht="15" hidden="false" customHeight="false" outlineLevel="0" collapsed="false">
      <c r="A5" s="4" t="s">
        <v>48</v>
      </c>
      <c r="B5" s="4" t="s">
        <v>50</v>
      </c>
      <c r="C5" s="6" t="n">
        <v>582</v>
      </c>
      <c r="D5" s="6" t="n">
        <v>400</v>
      </c>
      <c r="E5" s="6" t="n">
        <v>1</v>
      </c>
    </row>
    <row r="6" customFormat="false" ht="15" hidden="false" customHeight="false" outlineLevel="0" collapsed="false">
      <c r="A6" s="4" t="s">
        <v>48</v>
      </c>
      <c r="B6" s="4" t="s">
        <v>51</v>
      </c>
      <c r="C6" s="6" t="n">
        <v>582</v>
      </c>
      <c r="D6" s="6" t="n">
        <v>460</v>
      </c>
      <c r="E6" s="6" t="n">
        <v>1</v>
      </c>
    </row>
    <row r="7" customFormat="false" ht="15" hidden="false" customHeight="false" outlineLevel="0" collapsed="false">
      <c r="A7" s="4" t="s">
        <v>48</v>
      </c>
      <c r="B7" s="4" t="s">
        <v>52</v>
      </c>
      <c r="C7" s="6" t="n">
        <v>582</v>
      </c>
      <c r="D7" s="6" t="n">
        <v>460</v>
      </c>
      <c r="E7" s="6" t="n">
        <v>1</v>
      </c>
    </row>
    <row r="8" customFormat="false" ht="15" hidden="false" customHeight="false" outlineLevel="0" collapsed="false">
      <c r="A8" s="4" t="s">
        <v>48</v>
      </c>
      <c r="B8" s="4" t="s">
        <v>53</v>
      </c>
      <c r="C8" s="6" t="n">
        <v>496</v>
      </c>
      <c r="D8" s="6" t="n">
        <v>131</v>
      </c>
      <c r="E8" s="6" t="n">
        <v>1</v>
      </c>
    </row>
    <row r="9" customFormat="false" ht="15" hidden="false" customHeight="false" outlineLevel="0" collapsed="false">
      <c r="A9" s="4" t="s">
        <v>48</v>
      </c>
      <c r="B9" s="4" t="s">
        <v>54</v>
      </c>
      <c r="C9" s="6" t="n">
        <v>496</v>
      </c>
      <c r="D9" s="6" t="n">
        <v>131</v>
      </c>
      <c r="E9" s="6" t="n">
        <v>1</v>
      </c>
    </row>
    <row r="10" customFormat="false" ht="15" hidden="false" customHeight="false" outlineLevel="0" collapsed="false">
      <c r="A10" s="4" t="s">
        <v>48</v>
      </c>
      <c r="B10" s="4" t="s">
        <v>55</v>
      </c>
      <c r="C10" s="6" t="n">
        <v>496</v>
      </c>
      <c r="D10" s="6" t="n">
        <v>131</v>
      </c>
      <c r="E10" s="6" t="n">
        <v>1</v>
      </c>
    </row>
    <row r="11" customFormat="false" ht="15" hidden="false" customHeight="false" outlineLevel="0" collapsed="false">
      <c r="A11" s="4" t="s">
        <v>48</v>
      </c>
      <c r="B11" s="4" t="s">
        <v>56</v>
      </c>
      <c r="C11" s="6" t="n">
        <v>496</v>
      </c>
      <c r="D11" s="6" t="n">
        <v>97</v>
      </c>
      <c r="E11" s="6" t="n">
        <v>1</v>
      </c>
    </row>
    <row r="12" customFormat="false" ht="15" hidden="false" customHeight="false" outlineLevel="0" collapsed="false">
      <c r="A12" s="4" t="s">
        <v>57</v>
      </c>
      <c r="B12" s="4" t="s">
        <v>58</v>
      </c>
      <c r="C12" s="6" t="n">
        <v>500</v>
      </c>
      <c r="D12" s="6" t="n">
        <v>85</v>
      </c>
      <c r="E12" s="6" t="n">
        <v>2</v>
      </c>
    </row>
    <row r="13" customFormat="false" ht="15" hidden="false" customHeight="false" outlineLevel="0" collapsed="false">
      <c r="A13" s="4" t="s">
        <v>57</v>
      </c>
      <c r="B13" s="4" t="s">
        <v>59</v>
      </c>
      <c r="C13" s="6" t="n">
        <v>405</v>
      </c>
      <c r="D13" s="6" t="n">
        <v>85</v>
      </c>
      <c r="E13" s="6" t="n">
        <v>2</v>
      </c>
    </row>
    <row r="14" customFormat="false" ht="15" hidden="false" customHeight="false" outlineLevel="0" collapsed="false">
      <c r="A14" s="4" t="s">
        <v>57</v>
      </c>
      <c r="B14" s="4" t="s">
        <v>60</v>
      </c>
      <c r="C14" s="6" t="n">
        <v>500</v>
      </c>
      <c r="D14" s="6" t="n">
        <v>85</v>
      </c>
      <c r="E14" s="6" t="n">
        <v>2</v>
      </c>
    </row>
    <row r="15" customFormat="false" ht="15" hidden="false" customHeight="false" outlineLevel="0" collapsed="false">
      <c r="A15" s="4" t="s">
        <v>57</v>
      </c>
      <c r="B15" s="4" t="s">
        <v>61</v>
      </c>
      <c r="C15" s="6" t="n">
        <v>405</v>
      </c>
      <c r="D15" s="6" t="n">
        <v>85</v>
      </c>
      <c r="E15" s="6" t="n">
        <v>2</v>
      </c>
    </row>
    <row r="16" customFormat="false" ht="15" hidden="false" customHeight="false" outlineLevel="0" collapsed="false">
      <c r="A16" s="4" t="s">
        <v>57</v>
      </c>
      <c r="B16" s="4" t="s">
        <v>62</v>
      </c>
      <c r="C16" s="6" t="n">
        <v>500</v>
      </c>
      <c r="D16" s="6" t="n">
        <v>85</v>
      </c>
      <c r="E16" s="6" t="n">
        <v>2</v>
      </c>
    </row>
    <row r="17" customFormat="false" ht="15" hidden="false" customHeight="false" outlineLevel="0" collapsed="false">
      <c r="A17" s="4" t="s">
        <v>57</v>
      </c>
      <c r="B17" s="4" t="s">
        <v>63</v>
      </c>
      <c r="C17" s="6" t="n">
        <v>405</v>
      </c>
      <c r="D17" s="6" t="n">
        <v>85</v>
      </c>
      <c r="E17" s="6" t="n">
        <v>2</v>
      </c>
    </row>
    <row r="18" customFormat="false" ht="15" hidden="false" customHeight="false" outlineLevel="0" collapsed="false">
      <c r="A18" s="4" t="s">
        <v>57</v>
      </c>
      <c r="B18" s="4" t="s">
        <v>64</v>
      </c>
      <c r="C18" s="6" t="n">
        <v>500</v>
      </c>
      <c r="D18" s="6" t="n">
        <v>70</v>
      </c>
      <c r="E18" s="6" t="n">
        <v>2</v>
      </c>
    </row>
    <row r="19" customFormat="false" ht="15" hidden="false" customHeight="false" outlineLevel="0" collapsed="false">
      <c r="A19" s="4" t="s">
        <v>57</v>
      </c>
      <c r="B19" s="4" t="s">
        <v>65</v>
      </c>
      <c r="C19" s="6" t="n">
        <v>445</v>
      </c>
      <c r="D19" s="6" t="n">
        <v>70</v>
      </c>
      <c r="E19" s="6" t="n">
        <v>2</v>
      </c>
    </row>
    <row r="20" customFormat="false" ht="15" hidden="false" customHeight="false" outlineLevel="0" collapsed="false">
      <c r="A20" s="4" t="s">
        <v>66</v>
      </c>
      <c r="B20" s="4" t="s">
        <v>67</v>
      </c>
      <c r="C20" s="6" t="n">
        <v>496</v>
      </c>
      <c r="D20" s="6" t="n">
        <v>400</v>
      </c>
      <c r="E20" s="6" t="n">
        <v>1</v>
      </c>
    </row>
    <row r="21" customFormat="false" ht="15" hidden="false" customHeight="false" outlineLevel="0" collapsed="false">
      <c r="A21" s="4" t="s">
        <v>66</v>
      </c>
      <c r="B21" s="4" t="s">
        <v>68</v>
      </c>
      <c r="C21" s="6" t="n">
        <v>500</v>
      </c>
      <c r="D21" s="6" t="n">
        <v>435</v>
      </c>
      <c r="E21" s="6" t="n">
        <v>1</v>
      </c>
    </row>
    <row r="22" customFormat="false" ht="15" hidden="false" customHeight="false" outlineLevel="0" collapsed="false">
      <c r="A22" s="4" t="s">
        <v>66</v>
      </c>
      <c r="B22" s="4" t="s">
        <v>69</v>
      </c>
      <c r="C22" s="6" t="n">
        <v>500</v>
      </c>
      <c r="D22" s="6" t="n">
        <v>435</v>
      </c>
      <c r="E22" s="6" t="n">
        <v>1</v>
      </c>
    </row>
    <row r="23" customFormat="false" ht="15" hidden="false" customHeight="false" outlineLevel="0" collapsed="false">
      <c r="A23" s="4" t="s">
        <v>66</v>
      </c>
      <c r="B23" s="4" t="s">
        <v>70</v>
      </c>
      <c r="C23" s="6" t="n">
        <v>500</v>
      </c>
      <c r="D23" s="6" t="n">
        <v>435</v>
      </c>
      <c r="E23" s="6" t="n">
        <v>1</v>
      </c>
    </row>
    <row r="24" customFormat="false" ht="15" hidden="false" customHeight="false" outlineLevel="0" collapsed="false">
      <c r="A24" s="4" t="s">
        <v>66</v>
      </c>
      <c r="B24" s="4" t="s">
        <v>71</v>
      </c>
      <c r="C24" s="6" t="n">
        <v>500</v>
      </c>
      <c r="D24" s="6" t="n">
        <v>475</v>
      </c>
      <c r="E24" s="6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2026-10-18T08:53:26Z</dcterms:created>
  <dc:creator>openpyxl</dc:creator>
  <dc:description/>
  <dc:language>en-US</dc:language>
  <cp:lastModifiedBy/>
  <dcterms:modified xsi:type="dcterms:W3CDTF">2026-10-18T08:53:26Z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