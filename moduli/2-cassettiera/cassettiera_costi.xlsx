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ta costi" sheetId="1" state="visible" r:id="rId3"/>
    <sheet name="Taglio pannell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<sst xmlns="http://schemas.openxmlformats.org/spreadsheetml/2006/main" count="118" uniqueCount="75">
  <si>
    <t xml:space="preserve">Modulo 2 – Cassettiera: distinta e costi</t>
  </si>
  <si>
    <t xml:space="preserve">Cassettiera fissa per la campata sinistra (3 cassetti). Prezzi verificati il 18/10/2026; celle gialle = stime.</t>
  </si>
  <si>
    <t xml:space="preserve">Categoria</t>
  </si>
  <si>
    <t xml:space="preserve">Articolo (prodotto trovato)</t>
  </si>
  <si>
    <t xml:space="preserve">Uso</t>
  </si>
  <si>
    <t xml:space="preserve">Q.tà</t>
  </si>
  <si>
    <t xml:space="preserve">Unità</t>
  </si>
  <si>
    <t xml:space="preserve">Prezzo unitario</t>
  </si>
  <si>
    <t xml:space="preserve">Totale</t>
  </si>
  <si>
    <t xml:space="preserve">Fonte prezzo</t>
  </si>
  <si>
    <t xml:space="preserve">Negozio</t>
  </si>
  <si>
    <t xml:space="preserve">Link</t>
  </si>
  <si>
    <t xml:space="preserve">Note</t>
  </si>
  <si>
    <t xml:space="preserve">Legno</t>
  </si>
  <si>
    <t xml:space="preserve">Multistrato pioppo 18 mm 1200×600</t>
  </si>
  <si>
    <t xml:space="preserve">scatola e frontali (2 pannelli, schema nel manuale)</t>
  </si>
  <si>
    <t xml:space="preserve">pz</t>
  </si>
  <si>
    <t xml:space="preserve">verificato 18/10/2026</t>
  </si>
  <si>
    <t xml:space="preserve">Tecnomat</t>
  </si>
  <si>
    <t xml:space="preserve">apri</t>
  </si>
  <si>
    <t xml:space="preserve">Il pannello intero da 18 non c'è a Tecnomat; LM al m² 59 €/m²</t>
  </si>
  <si>
    <t xml:space="preserve">Multistrato pioppo 15 mm 1200×600</t>
  </si>
  <si>
    <t xml:space="preserve">scatole dei 3 cassetti</t>
  </si>
  <si>
    <t xml:space="preserve">Fibra grezza (faesite) 3 mm 2500×1250</t>
  </si>
  <si>
    <t xml:space="preserve">fondi dei cassetti e schienale</t>
  </si>
  <si>
    <t xml:space="preserve">3 mm invece di 4: va bene per carichi fino a ~15 kg per cassetto</t>
  </si>
  <si>
    <t xml:space="preserve">Ferramenta</t>
  </si>
  <si>
    <t xml:space="preserve">Coppia guide cassetto estrazione totale H45 L 500</t>
  </si>
  <si>
    <t xml:space="preserve">3 cassetti</t>
  </si>
  <si>
    <t xml:space="preserve">cp</t>
  </si>
  <si>
    <t xml:space="preserve">Portata non indicata; LM Cisne-45 a sfere 50 kg a 10,90 €</t>
  </si>
  <si>
    <t xml:space="preserve">Maniglie</t>
  </si>
  <si>
    <t xml:space="preserve">stima – da verificare</t>
  </si>
  <si>
    <t xml:space="preserve">Viti 4×45, 3,5×30, 3,5×25, 3×16, 4×16, 4×30, 4×50</t>
  </si>
  <si>
    <t xml:space="preserve">scatola, cassetti, frontali, guide, fissaggio</t>
  </si>
  <si>
    <t xml:space="preserve">set</t>
  </si>
  <si>
    <t xml:space="preserve">Collante vinilico D3 Tover 500 ml</t>
  </si>
  <si>
    <t xml:space="preserve">giunti</t>
  </si>
  <si>
    <t xml:space="preserve">Finitura</t>
  </si>
  <si>
    <t xml:space="preserve">Impregnante legno all'acqua Cipir 0,75 l</t>
  </si>
  <si>
    <t xml:space="preserve">scatola e frontali</t>
  </si>
  <si>
    <t xml:space="preserve">Prezzi verificati</t>
  </si>
  <si>
    <t xml:space="preserve">Stime</t>
  </si>
  <si>
    <t xml:space="preserve">TOTALE</t>
  </si>
  <si>
    <t xml:space="preserve">di cui legno</t>
  </si>
  <si>
    <t xml:space="preserve">di cui ferramenta</t>
  </si>
  <si>
    <t xml:space="preserve">di cui finitura</t>
  </si>
  <si>
    <t xml:space="preserve">da Tecnomat</t>
  </si>
  <si>
    <t xml:space="preserve">Alternativa economica: scatola in OSB 18 dall'avanzo del pannello del tavolo base (0 €).</t>
  </si>
  <si>
    <t xml:space="preserve">Tecnomat taglia i pannelli in negozio: porta il foglio 'Taglio pannelli'.</t>
  </si>
  <si>
    <t xml:space="preserve">Pezzi da tagliare</t>
  </si>
  <si>
    <t xml:space="preserve">Materiale</t>
  </si>
  <si>
    <t xml:space="preserve">Pezzo</t>
  </si>
  <si>
    <t xml:space="preserve">Lunghezza</t>
  </si>
  <si>
    <t xml:space="preserve">Larghezza</t>
  </si>
  <si>
    <t xml:space="preserve">multistrato 18</t>
  </si>
  <si>
    <t xml:space="preserve">Cassettiera fianco sx</t>
  </si>
  <si>
    <t xml:space="preserve">Cassettiera fianco dx</t>
  </si>
  <si>
    <t xml:space="preserve">Cassettiera cielo</t>
  </si>
  <si>
    <t xml:space="preserve">Cassettiera fondo</t>
  </si>
  <si>
    <t xml:space="preserve">Frontale cassetto 1</t>
  </si>
  <si>
    <t xml:space="preserve">Frontale cassetto 2</t>
  </si>
  <si>
    <t xml:space="preserve">Frontale cassetto 3</t>
  </si>
  <si>
    <t xml:space="preserve">multistrato 15</t>
  </si>
  <si>
    <t xml:space="preserve">cassetto 1: fianco</t>
  </si>
  <si>
    <t xml:space="preserve">cassetto 1: testata</t>
  </si>
  <si>
    <t xml:space="preserve">cassetto 2: fianco</t>
  </si>
  <si>
    <t xml:space="preserve">cassetto 2: testata</t>
  </si>
  <si>
    <t xml:space="preserve">cassetto 3: fianco</t>
  </si>
  <si>
    <t xml:space="preserve">cassetto 3: testata</t>
  </si>
  <si>
    <t xml:space="preserve">pannello di fibra 3</t>
  </si>
  <si>
    <t xml:space="preserve">Cassettiera schienale</t>
  </si>
  <si>
    <t xml:space="preserve">cassetto 1: fondo</t>
  </si>
  <si>
    <t xml:space="preserve">cassetto 2: fondo</t>
  </si>
  <si>
    <t xml:space="preserve">cassetto 3: fondo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</si>
</sst>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&quot; €&quot;;\-#,##0.00&quot; €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1F5FA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DFCC"/>
        <bgColor rgb="FFFFF2A8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1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E9DF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cnomat.it/it/pioppo-spess-18-mm-dim-120x60-cm-25016807/" TargetMode="External"/><Relationship Id="rId2" Type="http://schemas.openxmlformats.org/officeDocument/2006/relationships/hyperlink" Target="https://www.tecnomat.it/it/pioppo-spess-15-mm-120x60-cm-25022690/" TargetMode="External"/><Relationship Id="rId3" Type="http://schemas.openxmlformats.org/officeDocument/2006/relationships/hyperlink" Target="https://www.tecnomat.it/it/fibra-grezza-spess-3-mm-dim-250x125-cm-10048894/" TargetMode="External"/><Relationship Id="rId4" Type="http://schemas.openxmlformats.org/officeDocument/2006/relationships/hyperlink" Target="https://www.tecnomat.it/it/guide-p-cas-acc-estraz-tot-h45-500mm-bnc-25060371/" TargetMode="External"/><Relationship Id="rId5" Type="http://schemas.openxmlformats.org/officeDocument/2006/relationships/hyperlink" Target="https://www.tecnomat.it/it/colla-pavimenti-flottanti-tover-500-ml-10036806/" TargetMode="External"/><Relationship Id="rId6" Type="http://schemas.openxmlformats.org/officeDocument/2006/relationships/hyperlink" Target="https://www.tecnomat.it/it/impregnante-acqua-cipir-incolore-0-75-l-1000617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7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7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1.5" hidden="false" customHeight="true" outlineLevel="0" collapsed="false">
      <c r="A5" s="4" t="s">
        <v>13</v>
      </c>
      <c r="B5" s="5" t="s">
        <v>14</v>
      </c>
      <c r="C5" s="5" t="s">
        <v>15</v>
      </c>
      <c r="D5" s="6" t="n">
        <v>2</v>
      </c>
      <c r="E5" s="4" t="s">
        <v>16</v>
      </c>
      <c r="F5" s="7" t="n">
        <v>17.8</v>
      </c>
      <c r="G5" s="8" t="n">
        <f aca="false">D5*F5</f>
        <v>35.6</v>
      </c>
      <c r="H5" s="5" t="s">
        <v>17</v>
      </c>
      <c r="I5" s="5" t="s">
        <v>18</v>
      </c>
      <c r="J5" s="9" t="s">
        <v>19</v>
      </c>
      <c r="K5" s="5" t="s">
        <v>20</v>
      </c>
    </row>
    <row r="6" customFormat="false" ht="31.5" hidden="false" customHeight="true" outlineLevel="0" collapsed="false">
      <c r="A6" s="4" t="s">
        <v>13</v>
      </c>
      <c r="B6" s="5" t="s">
        <v>21</v>
      </c>
      <c r="C6" s="5" t="s">
        <v>22</v>
      </c>
      <c r="D6" s="6" t="n">
        <v>1</v>
      </c>
      <c r="E6" s="4" t="s">
        <v>16</v>
      </c>
      <c r="F6" s="7" t="n">
        <v>15.9</v>
      </c>
      <c r="G6" s="8" t="n">
        <f aca="false">D6*F6</f>
        <v>15.9</v>
      </c>
      <c r="H6" s="5" t="s">
        <v>17</v>
      </c>
      <c r="I6" s="5" t="s">
        <v>18</v>
      </c>
      <c r="J6" s="9" t="s">
        <v>19</v>
      </c>
      <c r="K6" s="5"/>
    </row>
    <row r="7" customFormat="false" ht="31.5" hidden="false" customHeight="true" outlineLevel="0" collapsed="false">
      <c r="A7" s="4" t="s">
        <v>13</v>
      </c>
      <c r="B7" s="5" t="s">
        <v>23</v>
      </c>
      <c r="C7" s="5" t="s">
        <v>24</v>
      </c>
      <c r="D7" s="6" t="n">
        <v>1</v>
      </c>
      <c r="E7" s="4" t="s">
        <v>16</v>
      </c>
      <c r="F7" s="7" t="n">
        <v>16</v>
      </c>
      <c r="G7" s="8" t="n">
        <f aca="false">D7*F7</f>
        <v>16</v>
      </c>
      <c r="H7" s="5" t="s">
        <v>17</v>
      </c>
      <c r="I7" s="5" t="s">
        <v>18</v>
      </c>
      <c r="J7" s="9" t="s">
        <v>19</v>
      </c>
      <c r="K7" s="5" t="s">
        <v>25</v>
      </c>
    </row>
    <row r="8" customFormat="false" ht="31.5" hidden="false" customHeight="true" outlineLevel="0" collapsed="false">
      <c r="A8" s="4" t="s">
        <v>26</v>
      </c>
      <c r="B8" s="5" t="s">
        <v>27</v>
      </c>
      <c r="C8" s="5" t="s">
        <v>28</v>
      </c>
      <c r="D8" s="6" t="n">
        <v>3</v>
      </c>
      <c r="E8" s="4" t="s">
        <v>29</v>
      </c>
      <c r="F8" s="7" t="n">
        <v>10.9</v>
      </c>
      <c r="G8" s="8" t="n">
        <f aca="false">D8*F8</f>
        <v>32.7</v>
      </c>
      <c r="H8" s="5" t="s">
        <v>17</v>
      </c>
      <c r="I8" s="5" t="s">
        <v>18</v>
      </c>
      <c r="J8" s="9" t="s">
        <v>19</v>
      </c>
      <c r="K8" s="5" t="s">
        <v>30</v>
      </c>
    </row>
    <row r="9" customFormat="false" ht="31.5" hidden="false" customHeight="true" outlineLevel="0" collapsed="false">
      <c r="A9" s="4" t="s">
        <v>26</v>
      </c>
      <c r="B9" s="5" t="s">
        <v>31</v>
      </c>
      <c r="C9" s="5"/>
      <c r="D9" s="6" t="n">
        <v>3</v>
      </c>
      <c r="E9" s="4" t="s">
        <v>16</v>
      </c>
      <c r="F9" s="10" t="n">
        <v>4</v>
      </c>
      <c r="G9" s="8" t="n">
        <f aca="false">D9*F9</f>
        <v>12</v>
      </c>
      <c r="H9" s="5" t="s">
        <v>32</v>
      </c>
      <c r="I9" s="5" t="s">
        <v>18</v>
      </c>
      <c r="J9" s="4"/>
      <c r="K9" s="5"/>
    </row>
    <row r="10" customFormat="false" ht="31.5" hidden="false" customHeight="true" outlineLevel="0" collapsed="false">
      <c r="A10" s="4" t="s">
        <v>26</v>
      </c>
      <c r="B10" s="5" t="s">
        <v>33</v>
      </c>
      <c r="C10" s="5" t="s">
        <v>34</v>
      </c>
      <c r="D10" s="6" t="n">
        <v>1</v>
      </c>
      <c r="E10" s="4" t="s">
        <v>35</v>
      </c>
      <c r="F10" s="10" t="n">
        <v>10</v>
      </c>
      <c r="G10" s="8" t="n">
        <f aca="false">D10*F10</f>
        <v>10</v>
      </c>
      <c r="H10" s="5" t="s">
        <v>32</v>
      </c>
      <c r="I10" s="5" t="s">
        <v>18</v>
      </c>
      <c r="J10" s="4"/>
      <c r="K10" s="5"/>
    </row>
    <row r="11" customFormat="false" ht="31.5" hidden="false" customHeight="true" outlineLevel="0" collapsed="false">
      <c r="A11" s="4" t="s">
        <v>26</v>
      </c>
      <c r="B11" s="5" t="s">
        <v>36</v>
      </c>
      <c r="C11" s="5" t="s">
        <v>37</v>
      </c>
      <c r="D11" s="6" t="n">
        <v>1</v>
      </c>
      <c r="E11" s="4" t="s">
        <v>16</v>
      </c>
      <c r="F11" s="7" t="n">
        <v>4.95</v>
      </c>
      <c r="G11" s="8" t="n">
        <f aca="false">D11*F11</f>
        <v>4.95</v>
      </c>
      <c r="H11" s="5" t="s">
        <v>17</v>
      </c>
      <c r="I11" s="5" t="s">
        <v>18</v>
      </c>
      <c r="J11" s="9" t="s">
        <v>19</v>
      </c>
      <c r="K11" s="5"/>
    </row>
    <row r="12" customFormat="false" ht="31.5" hidden="false" customHeight="true" outlineLevel="0" collapsed="false">
      <c r="A12" s="4" t="s">
        <v>38</v>
      </c>
      <c r="B12" s="5" t="s">
        <v>39</v>
      </c>
      <c r="C12" s="5" t="s">
        <v>40</v>
      </c>
      <c r="D12" s="6" t="n">
        <v>1</v>
      </c>
      <c r="E12" s="4" t="s">
        <v>16</v>
      </c>
      <c r="F12" s="7" t="n">
        <v>6.7</v>
      </c>
      <c r="G12" s="8" t="n">
        <f aca="false">D12*F12</f>
        <v>6.7</v>
      </c>
      <c r="H12" s="5" t="s">
        <v>17</v>
      </c>
      <c r="I12" s="5" t="s">
        <v>18</v>
      </c>
      <c r="J12" s="9" t="s">
        <v>19</v>
      </c>
      <c r="K12" s="5"/>
    </row>
    <row r="14" customFormat="false" ht="15" hidden="false" customHeight="false" outlineLevel="0" collapsed="false">
      <c r="F14" s="11" t="s">
        <v>41</v>
      </c>
      <c r="G14" s="8" t="n">
        <f aca="false">SUMIFS(G5:G12,H5:H12,"verificato 18/10/2026")</f>
        <v>111.85</v>
      </c>
    </row>
    <row r="15" customFormat="false" ht="15" hidden="false" customHeight="false" outlineLevel="0" collapsed="false">
      <c r="F15" s="11" t="s">
        <v>42</v>
      </c>
      <c r="G15" s="8" t="n">
        <f aca="false">SUMIFS(G5:G12,H5:H12,"stima – da verificare")</f>
        <v>22</v>
      </c>
    </row>
    <row r="16" customFormat="false" ht="15" hidden="false" customHeight="false" outlineLevel="0" collapsed="false">
      <c r="F16" s="12" t="s">
        <v>43</v>
      </c>
      <c r="G16" s="13" t="n">
        <f aca="false">SUM(G5:G12)</f>
        <v>133.85</v>
      </c>
    </row>
    <row r="18" customFormat="false" ht="15" hidden="false" customHeight="false" outlineLevel="0" collapsed="false">
      <c r="F18" s="11" t="s">
        <v>44</v>
      </c>
      <c r="G18" s="8" t="n">
        <f aca="false">SUMIFS(G5:G12,A5:A12,"Legno")</f>
        <v>67.5</v>
      </c>
    </row>
    <row r="19" customFormat="false" ht="15" hidden="false" customHeight="false" outlineLevel="0" collapsed="false">
      <c r="F19" s="11" t="s">
        <v>45</v>
      </c>
      <c r="G19" s="8" t="n">
        <f aca="false">SUMIFS(G5:G12,A5:A12,"Ferramenta")</f>
        <v>59.65</v>
      </c>
    </row>
    <row r="20" customFormat="false" ht="15" hidden="false" customHeight="false" outlineLevel="0" collapsed="false">
      <c r="F20" s="11" t="s">
        <v>46</v>
      </c>
      <c r="G20" s="8" t="n">
        <f aca="false">SUMIFS(G5:G12,A5:A12,"Finitura")</f>
        <v>6.7</v>
      </c>
    </row>
    <row r="22" customFormat="false" ht="15" hidden="false" customHeight="false" outlineLevel="0" collapsed="false">
      <c r="F22" s="11" t="s">
        <v>47</v>
      </c>
      <c r="G22" s="8" t="n">
        <f aca="false">SUMIFS(G5:G12,I5:I12,"Tecnomat")</f>
        <v>133.85</v>
      </c>
    </row>
    <row r="24" customFormat="false" ht="15" hidden="false" customHeight="false" outlineLevel="0" collapsed="false">
      <c r="A24" s="2" t="s">
        <v>48</v>
      </c>
    </row>
    <row r="25" customFormat="false" ht="15" hidden="false" customHeight="false" outlineLevel="0" collapsed="false">
      <c r="A25" s="2" t="s">
        <v>49</v>
      </c>
    </row>
  </sheetData>
  <hyperlinks>
    <hyperlink ref="J5" r:id="rId1" display="apri"/>
    <hyperlink ref="J6" r:id="rId2" display="apri"/>
    <hyperlink ref="J7" r:id="rId3" display="apri"/>
    <hyperlink ref="J8" r:id="rId4" display="apri"/>
    <hyperlink ref="J11" r:id="rId5" display="apri"/>
    <hyperlink ref="J12" r:id="rId6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50</v>
      </c>
    </row>
    <row r="3" customFormat="false" ht="15" hidden="false" customHeight="fals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</v>
      </c>
    </row>
    <row r="4" customFormat="false" ht="15" hidden="false" customHeight="false" outlineLevel="0" collapsed="false">
      <c r="A4" s="4" t="s">
        <v>55</v>
      </c>
      <c r="B4" s="4" t="s">
        <v>56</v>
      </c>
      <c r="C4" s="6" t="n">
        <v>578</v>
      </c>
      <c r="D4" s="6" t="n">
        <v>400</v>
      </c>
      <c r="E4" s="6" t="n">
        <v>1</v>
      </c>
    </row>
    <row r="5" customFormat="false" ht="15" hidden="false" customHeight="false" outlineLevel="0" collapsed="false">
      <c r="A5" s="4" t="s">
        <v>55</v>
      </c>
      <c r="B5" s="4" t="s">
        <v>57</v>
      </c>
      <c r="C5" s="6" t="n">
        <v>578</v>
      </c>
      <c r="D5" s="6" t="n">
        <v>400</v>
      </c>
      <c r="E5" s="6" t="n">
        <v>1</v>
      </c>
    </row>
    <row r="6" customFormat="false" ht="15" hidden="false" customHeight="false" outlineLevel="0" collapsed="false">
      <c r="A6" s="4" t="s">
        <v>55</v>
      </c>
      <c r="B6" s="4" t="s">
        <v>58</v>
      </c>
      <c r="C6" s="6" t="n">
        <v>578</v>
      </c>
      <c r="D6" s="6" t="n">
        <v>460</v>
      </c>
      <c r="E6" s="6" t="n">
        <v>1</v>
      </c>
    </row>
    <row r="7" customFormat="false" ht="15" hidden="false" customHeight="false" outlineLevel="0" collapsed="false">
      <c r="A7" s="4" t="s">
        <v>55</v>
      </c>
      <c r="B7" s="4" t="s">
        <v>59</v>
      </c>
      <c r="C7" s="6" t="n">
        <v>578</v>
      </c>
      <c r="D7" s="6" t="n">
        <v>460</v>
      </c>
      <c r="E7" s="6" t="n">
        <v>1</v>
      </c>
    </row>
    <row r="8" customFormat="false" ht="15" hidden="false" customHeight="false" outlineLevel="0" collapsed="false">
      <c r="A8" s="4" t="s">
        <v>55</v>
      </c>
      <c r="B8" s="4" t="s">
        <v>60</v>
      </c>
      <c r="C8" s="6" t="n">
        <v>496</v>
      </c>
      <c r="D8" s="6" t="n">
        <v>131</v>
      </c>
      <c r="E8" s="6" t="n">
        <v>1</v>
      </c>
    </row>
    <row r="9" customFormat="false" ht="15" hidden="false" customHeight="false" outlineLevel="0" collapsed="false">
      <c r="A9" s="4" t="s">
        <v>55</v>
      </c>
      <c r="B9" s="4" t="s">
        <v>61</v>
      </c>
      <c r="C9" s="6" t="n">
        <v>496</v>
      </c>
      <c r="D9" s="6" t="n">
        <v>131</v>
      </c>
      <c r="E9" s="6" t="n">
        <v>1</v>
      </c>
    </row>
    <row r="10" customFormat="false" ht="15" hidden="false" customHeight="false" outlineLevel="0" collapsed="false">
      <c r="A10" s="4" t="s">
        <v>55</v>
      </c>
      <c r="B10" s="4" t="s">
        <v>62</v>
      </c>
      <c r="C10" s="6" t="n">
        <v>496</v>
      </c>
      <c r="D10" s="6" t="n">
        <v>131</v>
      </c>
      <c r="E10" s="6" t="n">
        <v>1</v>
      </c>
    </row>
    <row r="11" customFormat="false" ht="15" hidden="false" customHeight="false" outlineLevel="0" collapsed="false">
      <c r="A11" s="4" t="s">
        <v>63</v>
      </c>
      <c r="B11" s="4" t="s">
        <v>64</v>
      </c>
      <c r="C11" s="6" t="n">
        <v>500</v>
      </c>
      <c r="D11" s="6" t="n">
        <v>85</v>
      </c>
      <c r="E11" s="6" t="n">
        <v>2</v>
      </c>
    </row>
    <row r="12" customFormat="false" ht="15" hidden="false" customHeight="false" outlineLevel="0" collapsed="false">
      <c r="A12" s="4" t="s">
        <v>63</v>
      </c>
      <c r="B12" s="4" t="s">
        <v>65</v>
      </c>
      <c r="C12" s="6" t="n">
        <v>405</v>
      </c>
      <c r="D12" s="6" t="n">
        <v>85</v>
      </c>
      <c r="E12" s="6" t="n">
        <v>2</v>
      </c>
    </row>
    <row r="13" customFormat="false" ht="15" hidden="false" customHeight="false" outlineLevel="0" collapsed="false">
      <c r="A13" s="4" t="s">
        <v>63</v>
      </c>
      <c r="B13" s="4" t="s">
        <v>66</v>
      </c>
      <c r="C13" s="6" t="n">
        <v>500</v>
      </c>
      <c r="D13" s="6" t="n">
        <v>85</v>
      </c>
      <c r="E13" s="6" t="n">
        <v>2</v>
      </c>
    </row>
    <row r="14" customFormat="false" ht="15" hidden="false" customHeight="false" outlineLevel="0" collapsed="false">
      <c r="A14" s="4" t="s">
        <v>63</v>
      </c>
      <c r="B14" s="4" t="s">
        <v>67</v>
      </c>
      <c r="C14" s="6" t="n">
        <v>405</v>
      </c>
      <c r="D14" s="6" t="n">
        <v>85</v>
      </c>
      <c r="E14" s="6" t="n">
        <v>2</v>
      </c>
    </row>
    <row r="15" customFormat="false" ht="15" hidden="false" customHeight="false" outlineLevel="0" collapsed="false">
      <c r="A15" s="4" t="s">
        <v>63</v>
      </c>
      <c r="B15" s="4" t="s">
        <v>68</v>
      </c>
      <c r="C15" s="6" t="n">
        <v>500</v>
      </c>
      <c r="D15" s="6" t="n">
        <v>85</v>
      </c>
      <c r="E15" s="6" t="n">
        <v>2</v>
      </c>
    </row>
    <row r="16" customFormat="false" ht="15" hidden="false" customHeight="false" outlineLevel="0" collapsed="false">
      <c r="A16" s="4" t="s">
        <v>63</v>
      </c>
      <c r="B16" s="4" t="s">
        <v>69</v>
      </c>
      <c r="C16" s="6" t="n">
        <v>405</v>
      </c>
      <c r="D16" s="6" t="n">
        <v>85</v>
      </c>
      <c r="E16" s="6" t="n">
        <v>2</v>
      </c>
    </row>
    <row r="17" customFormat="false" ht="15" hidden="false" customHeight="false" outlineLevel="0" collapsed="false">
      <c r="A17" s="4" t="s">
        <v>70</v>
      </c>
      <c r="B17" s="4" t="s">
        <v>71</v>
      </c>
      <c r="C17" s="6" t="n">
        <v>496</v>
      </c>
      <c r="D17" s="6" t="n">
        <v>400</v>
      </c>
      <c r="E17" s="6" t="n">
        <v>1</v>
      </c>
    </row>
    <row r="18" customFormat="false" ht="15" hidden="false" customHeight="false" outlineLevel="0" collapsed="false">
      <c r="A18" s="4" t="s">
        <v>70</v>
      </c>
      <c r="B18" s="4" t="s">
        <v>72</v>
      </c>
      <c r="C18" s="6" t="n">
        <v>500</v>
      </c>
      <c r="D18" s="6" t="n">
        <v>435</v>
      </c>
      <c r="E18" s="6" t="n">
        <v>1</v>
      </c>
    </row>
    <row r="19" customFormat="false" ht="15" hidden="false" customHeight="false" outlineLevel="0" collapsed="false">
      <c r="A19" s="4" t="s">
        <v>70</v>
      </c>
      <c r="B19" s="4" t="s">
        <v>73</v>
      </c>
      <c r="C19" s="6" t="n">
        <v>500</v>
      </c>
      <c r="D19" s="6" t="n">
        <v>435</v>
      </c>
      <c r="E19" s="6" t="n">
        <v>1</v>
      </c>
    </row>
    <row r="20" customFormat="false" ht="15" hidden="false" customHeight="false" outlineLevel="0" collapsed="false">
      <c r="A20" s="4" t="s">
        <v>70</v>
      </c>
      <c r="B20" s="4" t="s">
        <v>74</v>
      </c>
      <c r="C20" s="6" t="n">
        <v>500</v>
      </c>
      <c r="D20" s="6" t="n">
        <v>435</v>
      </c>
      <c r="E20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2026-10-18T20:29:03Z</dcterms:created>
  <dc:creator>openpyxl</dc:creator>
  <dc:description/>
  <dc:language>en-US</dc:language>
  <cp:lastModifiedBy/>
  <dcterms:modified xsi:type="dcterms:W3CDTF">2026-10-18T20:29:03Z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