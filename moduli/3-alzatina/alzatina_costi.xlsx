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inta cos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<sst xmlns="http://schemas.openxmlformats.org/spreadsheetml/2006/main" count="97" uniqueCount="61">
  <si>
    <t xml:space="preserve">Modulo 3 – Alzatina con mensola: distinta e costi</t>
  </si>
  <si>
    <t xml:space="preserve">Si monta sul tavolo base usando le predisposizioni. Prezzi verificati il 18/10/2026; celle gialle = stime.</t>
  </si>
  <si>
    <t xml:space="preserve">Categoria</t>
  </si>
  <si>
    <t xml:space="preserve">Articolo (prodotto trovato)</t>
  </si>
  <si>
    <t xml:space="preserve">Uso</t>
  </si>
  <si>
    <t xml:space="preserve">Q.tà</t>
  </si>
  <si>
    <t xml:space="preserve">Unità</t>
  </si>
  <si>
    <t xml:space="preserve">Prezzo unitario</t>
  </si>
  <si>
    <t xml:space="preserve">Totale</t>
  </si>
  <si>
    <t xml:space="preserve">Fonte prezzo</t>
  </si>
  <si>
    <t xml:space="preserve">Negozio</t>
  </si>
  <si>
    <t xml:space="preserve">Link</t>
  </si>
  <si>
    <t xml:space="preserve">Note</t>
  </si>
  <si>
    <t xml:space="preserve">Legno</t>
  </si>
  <si>
    <t xml:space="preserve">Montanti KVH 80×120×250</t>
  </si>
  <si>
    <t xml:space="preserve">tagliati con le travi del tavolo base</t>
  </si>
  <si>
    <t xml:space="preserve">pz</t>
  </si>
  <si>
    <t xml:space="preserve">incluso nel tavolo base</t>
  </si>
  <si>
    <t xml:space="preserve">Tecnomat</t>
  </si>
  <si>
    <t xml:space="preserve">Tavola in abete lamellare 1000×200×18</t>
  </si>
  <si>
    <t xml:space="preserve">mensola: tagliate a 620, 780 e 600</t>
  </si>
  <si>
    <t xml:space="preserve">verificato 18/10/2026</t>
  </si>
  <si>
    <t xml:space="preserve">apri</t>
  </si>
  <si>
    <t xml:space="preserve">OBI 800×200×18 8,79 €; OBI 800×200×14 8,19 €</t>
  </si>
  <si>
    <t xml:space="preserve">Listello abete grezzo 30×40×2000</t>
  </si>
  <si>
    <t xml:space="preserve">rinforzo sotto il bordo anteriore</t>
  </si>
  <si>
    <t xml:space="preserve">Visibile dal basso: levigalo. Piallato 30×40×2000 da OBI a 3,99 €</t>
  </si>
  <si>
    <t xml:space="preserve">Ferramenta</t>
  </si>
  <si>
    <t xml:space="preserve">Barra filettata M10×1000 zincata</t>
  </si>
  <si>
    <t xml:space="preserve">4 spezzoni da 390</t>
  </si>
  <si>
    <t xml:space="preserve">Dado cieco M10 + rondella Ø30</t>
  </si>
  <si>
    <t xml:space="preserve">sopra la mensola</t>
  </si>
  <si>
    <t xml:space="preserve">set</t>
  </si>
  <si>
    <t xml:space="preserve">stima – da verificare</t>
  </si>
  <si>
    <t xml:space="preserve">Dadi a tamburo M10 nelle gambe posteriori</t>
  </si>
  <si>
    <t xml:space="preserve">già montati con il tavolo base</t>
  </si>
  <si>
    <t xml:space="preserve">ferramenta/online</t>
  </si>
  <si>
    <t xml:space="preserve">Viti 4×50</t>
  </si>
  <si>
    <t xml:space="preserve">listello sotto le tavole</t>
  </si>
  <si>
    <t xml:space="preserve">conf</t>
  </si>
  <si>
    <t xml:space="preserve">Collante vinilico D3 Tover 500 ml</t>
  </si>
  <si>
    <t xml:space="preserve">listello</t>
  </si>
  <si>
    <t xml:space="preserve">Se avanza dal tavolo base: 0 €</t>
  </si>
  <si>
    <t xml:space="preserve">Staffa angolare con nervatura 90×90×65 zincata</t>
  </si>
  <si>
    <t xml:space="preserve">fissaggio a muro su M1 e M4</t>
  </si>
  <si>
    <t xml:space="preserve">OBI</t>
  </si>
  <si>
    <t xml:space="preserve">Tasselli Ø8</t>
  </si>
  <si>
    <t xml:space="preserve">fissaggio a muro</t>
  </si>
  <si>
    <t xml:space="preserve">Finitura</t>
  </si>
  <si>
    <t xml:space="preserve">Impregnante (quota)</t>
  </si>
  <si>
    <t xml:space="preserve">mensola e montanti</t>
  </si>
  <si>
    <t xml:space="preserve">Prezzi verificati</t>
  </si>
  <si>
    <t xml:space="preserve">Stime</t>
  </si>
  <si>
    <t xml:space="preserve">TOTALE</t>
  </si>
  <si>
    <t xml:space="preserve">di cui legno</t>
  </si>
  <si>
    <t xml:space="preserve">di cui ferramenta</t>
  </si>
  <si>
    <t xml:space="preserve">di cui finitura</t>
  </si>
  <si>
    <t xml:space="preserve">da OBI</t>
  </si>
  <si>
    <t xml:space="preserve">da Tecnomat</t>
  </si>
  <si>
    <t xml:space="preserve">da ferramenta/online</t>
  </si>
  <si>
    <t xml:space="preserve">Se il tavolo base è già montato senza i montanti, serve 1 m di KVH 80×120: una barra da 4 m costa 29,90 € (Tecnomat).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</si>
</sst>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&quot; €&quot;;\-#,##0.00&quot; €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1F5FA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9DFCC"/>
        <bgColor rgb="FFFFF2A8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1F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E9DF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ecnomat.it/it/tavola-abete-lam-100x20-cm-spess-18-10074965/" TargetMode="External"/><Relationship Id="rId2" Type="http://schemas.openxmlformats.org/officeDocument/2006/relationships/hyperlink" Target="https://www.tecnomat.it/it/listello-abete-grezzo-2-m-30x40-mm-25039932/" TargetMode="External"/><Relationship Id="rId3" Type="http://schemas.openxmlformats.org/officeDocument/2006/relationships/hyperlink" Target="https://www.tecnomat.it/it/barra-filettata-zinc-m10x1m-10066674/" TargetMode="External"/><Relationship Id="rId4" Type="http://schemas.openxmlformats.org/officeDocument/2006/relationships/hyperlink" Target="https://www.tecnomat.it/it/colla-pavimenti-flottanti-tover-500-ml-10036806/" TargetMode="External"/><Relationship Id="rId5" Type="http://schemas.openxmlformats.org/officeDocument/2006/relationships/hyperlink" Target="https://www.obi-italia.it/p/378623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7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7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1.5" hidden="false" customHeight="true" outlineLevel="0" collapsed="false">
      <c r="A5" s="4" t="s">
        <v>13</v>
      </c>
      <c r="B5" s="5" t="s">
        <v>14</v>
      </c>
      <c r="C5" s="5" t="s">
        <v>15</v>
      </c>
      <c r="D5" s="6" t="n">
        <v>4</v>
      </c>
      <c r="E5" s="4" t="s">
        <v>16</v>
      </c>
      <c r="F5" s="7" t="n">
        <v>0</v>
      </c>
      <c r="G5" s="8" t="n">
        <f aca="false">D5*F5</f>
        <v>0</v>
      </c>
      <c r="H5" s="5" t="s">
        <v>17</v>
      </c>
      <c r="I5" s="5" t="s">
        <v>18</v>
      </c>
      <c r="J5" s="4"/>
      <c r="K5" s="5"/>
    </row>
    <row r="6" customFormat="false" ht="31.5" hidden="false" customHeight="true" outlineLevel="0" collapsed="false">
      <c r="A6" s="4" t="s">
        <v>13</v>
      </c>
      <c r="B6" s="5" t="s">
        <v>19</v>
      </c>
      <c r="C6" s="5" t="s">
        <v>20</v>
      </c>
      <c r="D6" s="6" t="n">
        <v>3</v>
      </c>
      <c r="E6" s="4" t="s">
        <v>16</v>
      </c>
      <c r="F6" s="7" t="n">
        <v>4.5</v>
      </c>
      <c r="G6" s="8" t="n">
        <f aca="false">D6*F6</f>
        <v>13.5</v>
      </c>
      <c r="H6" s="5" t="s">
        <v>21</v>
      </c>
      <c r="I6" s="5" t="s">
        <v>18</v>
      </c>
      <c r="J6" s="9" t="s">
        <v>22</v>
      </c>
      <c r="K6" s="5" t="s">
        <v>23</v>
      </c>
    </row>
    <row r="7" customFormat="false" ht="31.5" hidden="false" customHeight="true" outlineLevel="0" collapsed="false">
      <c r="A7" s="4" t="s">
        <v>13</v>
      </c>
      <c r="B7" s="5" t="s">
        <v>24</v>
      </c>
      <c r="C7" s="5" t="s">
        <v>25</v>
      </c>
      <c r="D7" s="6" t="n">
        <v>1</v>
      </c>
      <c r="E7" s="4" t="s">
        <v>16</v>
      </c>
      <c r="F7" s="7" t="n">
        <v>3.1</v>
      </c>
      <c r="G7" s="8" t="n">
        <f aca="false">D7*F7</f>
        <v>3.1</v>
      </c>
      <c r="H7" s="5" t="s">
        <v>21</v>
      </c>
      <c r="I7" s="5" t="s">
        <v>18</v>
      </c>
      <c r="J7" s="9" t="s">
        <v>22</v>
      </c>
      <c r="K7" s="5" t="s">
        <v>26</v>
      </c>
    </row>
    <row r="8" customFormat="false" ht="31.5" hidden="false" customHeight="true" outlineLevel="0" collapsed="false">
      <c r="A8" s="4" t="s">
        <v>27</v>
      </c>
      <c r="B8" s="5" t="s">
        <v>28</v>
      </c>
      <c r="C8" s="5" t="s">
        <v>29</v>
      </c>
      <c r="D8" s="6" t="n">
        <v>2</v>
      </c>
      <c r="E8" s="4" t="s">
        <v>16</v>
      </c>
      <c r="F8" s="7" t="n">
        <v>1.65</v>
      </c>
      <c r="G8" s="8" t="n">
        <f aca="false">D8*F8</f>
        <v>3.3</v>
      </c>
      <c r="H8" s="5" t="s">
        <v>21</v>
      </c>
      <c r="I8" s="5" t="s">
        <v>18</v>
      </c>
      <c r="J8" s="9" t="s">
        <v>22</v>
      </c>
      <c r="K8" s="5"/>
    </row>
    <row r="9" customFormat="false" ht="31.5" hidden="false" customHeight="true" outlineLevel="0" collapsed="false">
      <c r="A9" s="4" t="s">
        <v>27</v>
      </c>
      <c r="B9" s="5" t="s">
        <v>30</v>
      </c>
      <c r="C9" s="5" t="s">
        <v>31</v>
      </c>
      <c r="D9" s="6" t="n">
        <v>4</v>
      </c>
      <c r="E9" s="4" t="s">
        <v>32</v>
      </c>
      <c r="F9" s="10" t="n">
        <v>0.8</v>
      </c>
      <c r="G9" s="8" t="n">
        <f aca="false">D9*F9</f>
        <v>3.2</v>
      </c>
      <c r="H9" s="5" t="s">
        <v>33</v>
      </c>
      <c r="I9" s="5" t="s">
        <v>18</v>
      </c>
      <c r="J9" s="4"/>
      <c r="K9" s="5"/>
    </row>
    <row r="10" customFormat="false" ht="31.5" hidden="false" customHeight="true" outlineLevel="0" collapsed="false">
      <c r="A10" s="4" t="s">
        <v>27</v>
      </c>
      <c r="B10" s="5" t="s">
        <v>34</v>
      </c>
      <c r="C10" s="5" t="s">
        <v>35</v>
      </c>
      <c r="D10" s="6" t="n">
        <v>4</v>
      </c>
      <c r="E10" s="4" t="s">
        <v>16</v>
      </c>
      <c r="F10" s="7" t="n">
        <v>0</v>
      </c>
      <c r="G10" s="8" t="n">
        <f aca="false">D10*F10</f>
        <v>0</v>
      </c>
      <c r="H10" s="5" t="s">
        <v>17</v>
      </c>
      <c r="I10" s="5" t="s">
        <v>36</v>
      </c>
      <c r="J10" s="4"/>
      <c r="K10" s="5"/>
    </row>
    <row r="11" customFormat="false" ht="31.5" hidden="false" customHeight="true" outlineLevel="0" collapsed="false">
      <c r="A11" s="4" t="s">
        <v>27</v>
      </c>
      <c r="B11" s="5" t="s">
        <v>37</v>
      </c>
      <c r="C11" s="5" t="s">
        <v>38</v>
      </c>
      <c r="D11" s="6" t="n">
        <v>1</v>
      </c>
      <c r="E11" s="4" t="s">
        <v>39</v>
      </c>
      <c r="F11" s="10" t="n">
        <v>3</v>
      </c>
      <c r="G11" s="8" t="n">
        <f aca="false">D11*F11</f>
        <v>3</v>
      </c>
      <c r="H11" s="5" t="s">
        <v>33</v>
      </c>
      <c r="I11" s="5" t="s">
        <v>18</v>
      </c>
      <c r="J11" s="4"/>
      <c r="K11" s="5"/>
    </row>
    <row r="12" customFormat="false" ht="31.5" hidden="false" customHeight="true" outlineLevel="0" collapsed="false">
      <c r="A12" s="4" t="s">
        <v>27</v>
      </c>
      <c r="B12" s="5" t="s">
        <v>40</v>
      </c>
      <c r="C12" s="5" t="s">
        <v>41</v>
      </c>
      <c r="D12" s="6" t="n">
        <v>1</v>
      </c>
      <c r="E12" s="4" t="s">
        <v>16</v>
      </c>
      <c r="F12" s="7" t="n">
        <v>4.95</v>
      </c>
      <c r="G12" s="8" t="n">
        <f aca="false">D12*F12</f>
        <v>4.95</v>
      </c>
      <c r="H12" s="5" t="s">
        <v>21</v>
      </c>
      <c r="I12" s="5" t="s">
        <v>18</v>
      </c>
      <c r="J12" s="9" t="s">
        <v>22</v>
      </c>
      <c r="K12" s="5" t="s">
        <v>42</v>
      </c>
    </row>
    <row r="13" customFormat="false" ht="31.5" hidden="false" customHeight="true" outlineLevel="0" collapsed="false">
      <c r="A13" s="4" t="s">
        <v>27</v>
      </c>
      <c r="B13" s="5" t="s">
        <v>43</v>
      </c>
      <c r="C13" s="5" t="s">
        <v>44</v>
      </c>
      <c r="D13" s="6" t="n">
        <v>2</v>
      </c>
      <c r="E13" s="4" t="s">
        <v>16</v>
      </c>
      <c r="F13" s="7" t="n">
        <v>2.89</v>
      </c>
      <c r="G13" s="8" t="n">
        <f aca="false">D13*F13</f>
        <v>5.78</v>
      </c>
      <c r="H13" s="5" t="s">
        <v>21</v>
      </c>
      <c r="I13" s="5" t="s">
        <v>45</v>
      </c>
      <c r="J13" s="9" t="s">
        <v>22</v>
      </c>
      <c r="K13" s="5"/>
    </row>
    <row r="14" customFormat="false" ht="31.5" hidden="false" customHeight="true" outlineLevel="0" collapsed="false">
      <c r="A14" s="4" t="s">
        <v>27</v>
      </c>
      <c r="B14" s="5" t="s">
        <v>46</v>
      </c>
      <c r="C14" s="5" t="s">
        <v>47</v>
      </c>
      <c r="D14" s="6" t="n">
        <v>1</v>
      </c>
      <c r="E14" s="4" t="s">
        <v>39</v>
      </c>
      <c r="F14" s="10" t="n">
        <v>2</v>
      </c>
      <c r="G14" s="8" t="n">
        <f aca="false">D14*F14</f>
        <v>2</v>
      </c>
      <c r="H14" s="5" t="s">
        <v>33</v>
      </c>
      <c r="I14" s="5" t="s">
        <v>18</v>
      </c>
      <c r="J14" s="4"/>
      <c r="K14" s="5"/>
    </row>
    <row r="15" customFormat="false" ht="31.5" hidden="false" customHeight="true" outlineLevel="0" collapsed="false">
      <c r="A15" s="4" t="s">
        <v>48</v>
      </c>
      <c r="B15" s="5" t="s">
        <v>49</v>
      </c>
      <c r="C15" s="5" t="s">
        <v>50</v>
      </c>
      <c r="D15" s="6" t="n">
        <v>1</v>
      </c>
      <c r="E15" s="4" t="s">
        <v>16</v>
      </c>
      <c r="F15" s="10" t="n">
        <v>3</v>
      </c>
      <c r="G15" s="8" t="n">
        <f aca="false">D15*F15</f>
        <v>3</v>
      </c>
      <c r="H15" s="5" t="s">
        <v>33</v>
      </c>
      <c r="I15" s="5" t="s">
        <v>18</v>
      </c>
      <c r="J15" s="4"/>
      <c r="K15" s="5"/>
    </row>
    <row r="17" customFormat="false" ht="15" hidden="false" customHeight="false" outlineLevel="0" collapsed="false">
      <c r="F17" s="11" t="s">
        <v>51</v>
      </c>
      <c r="G17" s="8" t="n">
        <f aca="false">SUMIFS(G5:G15,H5:H15,"verificato 18/10/2026")</f>
        <v>30.63</v>
      </c>
    </row>
    <row r="18" customFormat="false" ht="15" hidden="false" customHeight="false" outlineLevel="0" collapsed="false">
      <c r="F18" s="11" t="s">
        <v>52</v>
      </c>
      <c r="G18" s="8" t="n">
        <f aca="false">SUMIFS(G5:G15,H5:H15,"stima – da verificare")</f>
        <v>11.2</v>
      </c>
    </row>
    <row r="19" customFormat="false" ht="15" hidden="false" customHeight="false" outlineLevel="0" collapsed="false">
      <c r="F19" s="12" t="s">
        <v>53</v>
      </c>
      <c r="G19" s="13" t="n">
        <f aca="false">SUM(G5:G15)</f>
        <v>41.83</v>
      </c>
    </row>
    <row r="21" customFormat="false" ht="15" hidden="false" customHeight="false" outlineLevel="0" collapsed="false">
      <c r="F21" s="11" t="s">
        <v>54</v>
      </c>
      <c r="G21" s="8" t="n">
        <f aca="false">SUMIFS(G5:G15,A5:A15,"Legno")</f>
        <v>16.6</v>
      </c>
    </row>
    <row r="22" customFormat="false" ht="15" hidden="false" customHeight="false" outlineLevel="0" collapsed="false">
      <c r="F22" s="11" t="s">
        <v>55</v>
      </c>
      <c r="G22" s="8" t="n">
        <f aca="false">SUMIFS(G5:G15,A5:A15,"Ferramenta")</f>
        <v>22.23</v>
      </c>
    </row>
    <row r="23" customFormat="false" ht="15" hidden="false" customHeight="false" outlineLevel="0" collapsed="false">
      <c r="F23" s="11" t="s">
        <v>56</v>
      </c>
      <c r="G23" s="8" t="n">
        <f aca="false">SUMIFS(G5:G15,A5:A15,"Finitura")</f>
        <v>3</v>
      </c>
    </row>
    <row r="25" customFormat="false" ht="15" hidden="false" customHeight="false" outlineLevel="0" collapsed="false">
      <c r="F25" s="11" t="s">
        <v>57</v>
      </c>
      <c r="G25" s="8" t="n">
        <f aca="false">SUMIFS(G5:G15,I5:I15,"OBI")</f>
        <v>5.78</v>
      </c>
    </row>
    <row r="26" customFormat="false" ht="15" hidden="false" customHeight="false" outlineLevel="0" collapsed="false">
      <c r="F26" s="11" t="s">
        <v>58</v>
      </c>
      <c r="G26" s="8" t="n">
        <f aca="false">SUMIFS(G5:G15,I5:I15,"Tecnomat")</f>
        <v>36.05</v>
      </c>
    </row>
    <row r="27" customFormat="false" ht="15" hidden="false" customHeight="false" outlineLevel="0" collapsed="false">
      <c r="F27" s="11" t="s">
        <v>59</v>
      </c>
      <c r="G27" s="8" t="n">
        <f aca="false">SUMIFS(G5:G15,I5:I15,"ferramenta/online")</f>
        <v>0</v>
      </c>
    </row>
    <row r="29" customFormat="false" ht="15" hidden="false" customHeight="false" outlineLevel="0" collapsed="false">
      <c r="A29" s="2" t="s">
        <v>60</v>
      </c>
    </row>
  </sheetData>
  <hyperlinks>
    <hyperlink ref="J6" r:id="rId1" display="apri"/>
    <hyperlink ref="J7" r:id="rId2" display="apri"/>
    <hyperlink ref="J8" r:id="rId3" display="apri"/>
    <hyperlink ref="J12" r:id="rId4" display="apri"/>
    <hyperlink ref="J13" r:id="rId5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2026-10-18T09:07:51Z</dcterms:created>
  <dc:creator>openpyxl</dc:creator>
  <dc:description/>
  <dc:language>en-US</dc:language>
  <cp:lastModifiedBy/>
  <dcterms:modified xsi:type="dcterms:W3CDTF">2026-10-18T09:07:51Z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