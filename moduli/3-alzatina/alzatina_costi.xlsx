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<sst xmlns="http://schemas.openxmlformats.org/spreadsheetml/2006/main" count="63" uniqueCount="44">
  <si>
    <t xml:space="preserve">Modulo 3 – Alzatina con mensola: distinta e costi</t>
  </si>
  <si>
    <t xml:space="preserve">Si monta sul tavolo base usando le predisposizioni (fori e dadi nelle gambe posteriori). Celle gialle = stime.</t>
  </si>
  <si>
    <t xml:space="preserve">Categoria</t>
  </si>
  <si>
    <t xml:space="preserve">Articolo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</si>
  <si>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</si>
  <si>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</si>
  <si>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</si>
  <si>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</si>
  <si>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</si>
  <si>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</si>
  <si>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Legno</t>
  </si>
  <si>
    <t xml:space="preserve">Montanti KVH 80×120×250</t>
  </si>
  <si>
    <t xml:space="preserve">tagliati con le travi del tavolo base (barre 3 e 4)</t>
  </si>
  <si>
    <t xml:space="preserve">pz</t>
  </si>
  <si>
    <t xml:space="preserve">incluso nel tavolo base</t>
  </si>
  <si>
    <t xml:space="preserve">Tavola lamellare abete OBI 800×200×14</t>
  </si>
  <si>
    <t xml:space="preserve">mensola: tagliate a 620, 780 e 600</t>
  </si>
  <si>
    <t xml:space="preserve">OBI, verificato 18/10/2026</t>
  </si>
  <si>
    <t xml:space="preserve">Listello abete 30×40, barra 2,4 m</t>
  </si>
  <si>
    <t xml:space="preserve">rinforzo sotto il bordo anteriore (2000)</t>
  </si>
  <si>
    <t xml:space="preserve">stima – da verificare</t>
  </si>
  <si>
    <t xml:space="preserve">Ferramenta</t>
  </si>
  <si>
    <t xml:space="preserve">Barra filettata M10 da 1 m</t>
  </si>
  <si>
    <t xml:space="preserve">4 spezzoni da 380</t>
  </si>
  <si>
    <t xml:space="preserve">Dado cieco M10 + rondella Ø30</t>
  </si>
  <si>
    <t xml:space="preserve">sopra la mensola</t>
  </si>
  <si>
    <t xml:space="preserve">set</t>
  </si>
  <si>
    <t xml:space="preserve">Dadi a tamburo M10 nelle gambe posteriori</t>
  </si>
  <si>
    <t xml:space="preserve">già montati con il tavolo base</t>
  </si>
  <si>
    <t xml:space="preserve">Viti 4×50 (conf.) + colla</t>
  </si>
  <si>
    <t xml:space="preserve">listello sotto le tavole</t>
  </si>
  <si>
    <t xml:space="preserve">Angolare a L 100×100 + tassello Ø8</t>
  </si>
  <si>
    <t xml:space="preserve">fissaggio a muro su M1 e M4</t>
  </si>
  <si>
    <t xml:space="preserve">Finitura</t>
  </si>
  <si>
    <t xml:space="preserve">Olio/impregnante (quota)</t>
  </si>
  <si>
    <t xml:space="preserve">mensola e montanti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</si>
  <si>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</si>
  <si>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</si>
  <si>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</si>
  <si>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</si>
  <si>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</t>
  </si>
  <si>
    <t xml:space="preserve">di cui finitura</t>
  </si>
  <si>
    <t xml:space="preserve">Se il tavolo base è già montato senza i 4 montanti, servono 1 m di KVH 80×120: una barra da 4 m costa 29,90 €.</t>
  </si>
  <si>
    <t xml:space="preserve">Tavole OBI: prezzo verificato il 18/10/2026 (articolo 2423135).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</si>
</sst>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#,##0.00&quot; €&quot;;\-#,##0.00&quot; €&quot;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FFF2A8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46"/>
    <col collapsed="false" customWidth="true" hidden="false" outlineLevel="0" max="5" min="4" style="0" width="8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30" hidden="false" customHeight="true" outlineLevel="0" collapsed="false">
      <c r="A5" s="4" t="s">
        <v>10</v>
      </c>
      <c r="B5" s="5" t="s">
        <v>11</v>
      </c>
      <c r="C5" s="5" t="s">
        <v>12</v>
      </c>
      <c r="D5" s="6" t="n">
        <v>4</v>
      </c>
      <c r="E5" s="4" t="s">
        <v>13</v>
      </c>
      <c r="F5" s="7" t="n">
        <v>0</v>
      </c>
      <c r="G5" s="8" t="n">
        <f aca="false">D5*F5</f>
        <v>0</v>
      </c>
      <c r="H5" s="5" t="s">
        <v>14</v>
      </c>
    </row>
    <row r="6" customFormat="false" ht="30" hidden="false" customHeight="true" outlineLevel="0" collapsed="false">
      <c r="A6" s="4" t="s">
        <v>10</v>
      </c>
      <c r="B6" s="5" t="s">
        <v>15</v>
      </c>
      <c r="C6" s="5" t="s">
        <v>16</v>
      </c>
      <c r="D6" s="6" t="n">
        <v>3</v>
      </c>
      <c r="E6" s="4" t="s">
        <v>13</v>
      </c>
      <c r="F6" s="7" t="n">
        <v>8.19</v>
      </c>
      <c r="G6" s="8" t="n">
        <f aca="false">D6*F6</f>
        <v>24.57</v>
      </c>
      <c r="H6" s="5" t="s">
        <v>17</v>
      </c>
    </row>
    <row r="7" customFormat="false" ht="30" hidden="false" customHeight="true" outlineLevel="0" collapsed="false">
      <c r="A7" s="4" t="s">
        <v>10</v>
      </c>
      <c r="B7" s="5" t="s">
        <v>18</v>
      </c>
      <c r="C7" s="5" t="s">
        <v>19</v>
      </c>
      <c r="D7" s="6" t="n">
        <v>1</v>
      </c>
      <c r="E7" s="4" t="s">
        <v>13</v>
      </c>
      <c r="F7" s="9" t="n">
        <v>5</v>
      </c>
      <c r="G7" s="8" t="n">
        <f aca="false">D7*F7</f>
        <v>5</v>
      </c>
      <c r="H7" s="5" t="s">
        <v>20</v>
      </c>
    </row>
    <row r="8" customFormat="false" ht="30" hidden="false" customHeight="true" outlineLevel="0" collapsed="false">
      <c r="A8" s="4" t="s">
        <v>21</v>
      </c>
      <c r="B8" s="5" t="s">
        <v>22</v>
      </c>
      <c r="C8" s="5" t="s">
        <v>23</v>
      </c>
      <c r="D8" s="6" t="n">
        <v>2</v>
      </c>
      <c r="E8" s="4" t="s">
        <v>13</v>
      </c>
      <c r="F8" s="9" t="n">
        <v>3.5</v>
      </c>
      <c r="G8" s="8" t="n">
        <f aca="false">D8*F8</f>
        <v>7</v>
      </c>
      <c r="H8" s="5" t="s">
        <v>20</v>
      </c>
    </row>
    <row r="9" customFormat="false" ht="30" hidden="false" customHeight="true" outlineLevel="0" collapsed="false">
      <c r="A9" s="4" t="s">
        <v>21</v>
      </c>
      <c r="B9" s="5" t="s">
        <v>24</v>
      </c>
      <c r="C9" s="5" t="s">
        <v>25</v>
      </c>
      <c r="D9" s="6" t="n">
        <v>4</v>
      </c>
      <c r="E9" s="4" t="s">
        <v>26</v>
      </c>
      <c r="F9" s="9" t="n">
        <v>0.8</v>
      </c>
      <c r="G9" s="8" t="n">
        <f aca="false">D9*F9</f>
        <v>3.2</v>
      </c>
      <c r="H9" s="5" t="s">
        <v>20</v>
      </c>
    </row>
    <row r="10" customFormat="false" ht="30" hidden="false" customHeight="true" outlineLevel="0" collapsed="false">
      <c r="A10" s="4" t="s">
        <v>21</v>
      </c>
      <c r="B10" s="5" t="s">
        <v>27</v>
      </c>
      <c r="C10" s="5" t="s">
        <v>28</v>
      </c>
      <c r="D10" s="6" t="n">
        <v>4</v>
      </c>
      <c r="E10" s="4" t="s">
        <v>13</v>
      </c>
      <c r="F10" s="7" t="n">
        <v>0</v>
      </c>
      <c r="G10" s="8" t="n">
        <f aca="false">D10*F10</f>
        <v>0</v>
      </c>
      <c r="H10" s="5" t="s">
        <v>14</v>
      </c>
    </row>
    <row r="11" customFormat="false" ht="30" hidden="false" customHeight="true" outlineLevel="0" collapsed="false">
      <c r="A11" s="4" t="s">
        <v>21</v>
      </c>
      <c r="B11" s="5" t="s">
        <v>29</v>
      </c>
      <c r="C11" s="5" t="s">
        <v>30</v>
      </c>
      <c r="D11" s="6" t="n">
        <v>1</v>
      </c>
      <c r="E11" s="4" t="s">
        <v>26</v>
      </c>
      <c r="F11" s="9" t="n">
        <v>6</v>
      </c>
      <c r="G11" s="8" t="n">
        <f aca="false">D11*F11</f>
        <v>6</v>
      </c>
      <c r="H11" s="5" t="s">
        <v>20</v>
      </c>
    </row>
    <row r="12" customFormat="false" ht="30" hidden="false" customHeight="true" outlineLevel="0" collapsed="false">
      <c r="A12" s="4" t="s">
        <v>21</v>
      </c>
      <c r="B12" s="5" t="s">
        <v>31</v>
      </c>
      <c r="C12" s="5" t="s">
        <v>32</v>
      </c>
      <c r="D12" s="6" t="n">
        <v>2</v>
      </c>
      <c r="E12" s="4" t="s">
        <v>13</v>
      </c>
      <c r="F12" s="9" t="n">
        <v>4</v>
      </c>
      <c r="G12" s="8" t="n">
        <f aca="false">D12*F12</f>
        <v>8</v>
      </c>
      <c r="H12" s="5" t="s">
        <v>20</v>
      </c>
    </row>
    <row r="13" customFormat="false" ht="30" hidden="false" customHeight="true" outlineLevel="0" collapsed="false">
      <c r="A13" s="4" t="s">
        <v>33</v>
      </c>
      <c r="B13" s="5" t="s">
        <v>34</v>
      </c>
      <c r="C13" s="5" t="s">
        <v>35</v>
      </c>
      <c r="D13" s="6" t="n">
        <v>1</v>
      </c>
      <c r="E13" s="4" t="s">
        <v>13</v>
      </c>
      <c r="F13" s="9" t="n">
        <v>8</v>
      </c>
      <c r="G13" s="8" t="n">
        <f aca="false">D13*F13</f>
        <v>8</v>
      </c>
      <c r="H13" s="5" t="s">
        <v>20</v>
      </c>
    </row>
    <row r="15" customFormat="false" ht="15" hidden="false" customHeight="false" outlineLevel="0" collapsed="false">
      <c r="F15" s="10" t="s">
        <v>36</v>
      </c>
      <c r="G15" s="8" t="n">
        <f aca="false">SUMIFS(G5:G13,H5:H13,"fornito da te")+SUMIFS(G5:G13,H5:H13,"OBI, verificato 18/10/2026")</f>
        <v>24.57</v>
      </c>
    </row>
    <row r="16" customFormat="false" ht="15" hidden="false" customHeight="false" outlineLevel="0" collapsed="false">
      <c r="F16" s="10" t="s">
        <v>37</v>
      </c>
      <c r="G16" s="8" t="n">
        <f aca="false">SUMIFS(G5:G13,H5:H13,"stima – da verificare")</f>
        <v>37.2</v>
      </c>
    </row>
    <row r="17" customFormat="false" ht="15" hidden="false" customHeight="false" outlineLevel="0" collapsed="false">
      <c r="F17" s="11" t="s">
        <v>38</v>
      </c>
      <c r="G17" s="12" t="n">
        <f aca="false">SUM(G5:G13)</f>
        <v>61.77</v>
      </c>
    </row>
    <row r="19" customFormat="false" ht="15" hidden="false" customHeight="false" outlineLevel="0" collapsed="false">
      <c r="F19" s="10" t="s">
        <v>39</v>
      </c>
      <c r="G19" s="8" t="n">
        <f aca="false">SUMIFS(G5:G13,A5:A13,"Legno")</f>
        <v>29.57</v>
      </c>
    </row>
    <row r="20" customFormat="false" ht="15" hidden="false" customHeight="false" outlineLevel="0" collapsed="false">
      <c r="F20" s="10" t="s">
        <v>40</v>
      </c>
      <c r="G20" s="8" t="n">
        <f aca="false">SUMIFS(G5:G13,A5:A13,"Ferramenta")</f>
        <v>24.2</v>
      </c>
    </row>
    <row r="21" customFormat="false" ht="15" hidden="false" customHeight="false" outlineLevel="0" collapsed="false">
      <c r="F21" s="10" t="s">
        <v>41</v>
      </c>
      <c r="G21" s="8" t="n">
        <f aca="false">SUMIFS(G5:G13,A5:A13,"Finitura")</f>
        <v>8</v>
      </c>
    </row>
    <row r="23" customFormat="false" ht="15" hidden="false" customHeight="false" outlineLevel="0" collapsed="false">
      <c r="A23" s="2" t="s">
        <v>42</v>
      </c>
    </row>
    <row r="24" customFormat="false" ht="15" hidden="false" customHeight="false" outlineLevel="0" collapsed="false">
      <c r="A24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2026-10-18T08:31:42Z</dcterms:created>
  <dc:creator>openpyxl</dc:creator>
  <dc:description/>
  <dc:language>en-US</dc:language>
  <cp:lastModifiedBy/>
  <dcterms:modified xsi:type="dcterms:W3CDTF">2026-10-18T08:31:42Z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